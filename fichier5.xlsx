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2E9A374E-DAA9-4D90-88E6-C84598733414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leontief TT maroc 2018" sheetId="1" r:id="rId1"/>
    <sheet name="Feuil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H216" i="1" l="1"/>
  <c r="BE216" i="1"/>
  <c r="BC216" i="1" a="1"/>
  <c r="BC216" i="1" s="1"/>
  <c r="C265" i="1"/>
  <c r="D265" i="1"/>
  <c r="E265" i="1"/>
  <c r="F265" i="1"/>
  <c r="G265" i="1"/>
  <c r="H265" i="1"/>
  <c r="I265" i="1"/>
  <c r="J265" i="1"/>
  <c r="K265" i="1"/>
  <c r="L265" i="1"/>
  <c r="M265" i="1"/>
  <c r="N265" i="1"/>
  <c r="O265" i="1"/>
  <c r="P265" i="1"/>
  <c r="Q265" i="1"/>
  <c r="R265" i="1"/>
  <c r="S265" i="1"/>
  <c r="T265" i="1"/>
  <c r="U265" i="1"/>
  <c r="V265" i="1"/>
  <c r="W265" i="1"/>
  <c r="X265" i="1"/>
  <c r="Y265" i="1"/>
  <c r="Z265" i="1"/>
  <c r="AA265" i="1"/>
  <c r="AB265" i="1"/>
  <c r="AC265" i="1"/>
  <c r="AD265" i="1"/>
  <c r="AE265" i="1"/>
  <c r="AF265" i="1"/>
  <c r="AG265" i="1"/>
  <c r="AH265" i="1"/>
  <c r="AI265" i="1"/>
  <c r="AJ265" i="1"/>
  <c r="AK265" i="1"/>
  <c r="AL265" i="1"/>
  <c r="AM265" i="1"/>
  <c r="AN265" i="1"/>
  <c r="AO265" i="1"/>
  <c r="AP265" i="1"/>
  <c r="AQ265" i="1"/>
  <c r="AR265" i="1"/>
  <c r="AS265" i="1"/>
  <c r="AT265" i="1"/>
  <c r="B265" i="1"/>
  <c r="BH217" i="1"/>
  <c r="BH218" i="1"/>
  <c r="BH219" i="1"/>
  <c r="BH220" i="1"/>
  <c r="BH221" i="1"/>
  <c r="BH222" i="1"/>
  <c r="BH223" i="1"/>
  <c r="BH224" i="1"/>
  <c r="BH225" i="1"/>
  <c r="BH226" i="1"/>
  <c r="BH227" i="1"/>
  <c r="BH228" i="1"/>
  <c r="BH229" i="1"/>
  <c r="BH230" i="1"/>
  <c r="BH231" i="1"/>
  <c r="BH232" i="1"/>
  <c r="BH233" i="1"/>
  <c r="BH234" i="1"/>
  <c r="BH235" i="1"/>
  <c r="BH236" i="1"/>
  <c r="BH237" i="1"/>
  <c r="BH238" i="1"/>
  <c r="BH239" i="1"/>
  <c r="BH240" i="1"/>
  <c r="BH241" i="1"/>
  <c r="BH242" i="1"/>
  <c r="BH243" i="1"/>
  <c r="BH244" i="1"/>
  <c r="BH245" i="1"/>
  <c r="BH246" i="1"/>
  <c r="BH247" i="1"/>
  <c r="BH248" i="1"/>
  <c r="BH249" i="1"/>
  <c r="BH250" i="1"/>
  <c r="BH251" i="1"/>
  <c r="BH252" i="1"/>
  <c r="BH253" i="1"/>
  <c r="BH254" i="1"/>
  <c r="BH255" i="1"/>
  <c r="BH256" i="1"/>
  <c r="BH257" i="1"/>
  <c r="BH258" i="1"/>
  <c r="BH259" i="1"/>
  <c r="BH260" i="1"/>
  <c r="B114" i="1" a="1"/>
  <c r="AG149" i="1" s="1"/>
  <c r="AT102" i="1"/>
  <c r="AS102" i="1"/>
  <c r="AR102" i="1"/>
  <c r="AQ102" i="1"/>
  <c r="AP102" i="1"/>
  <c r="AO102" i="1"/>
  <c r="AN102" i="1"/>
  <c r="AM102" i="1"/>
  <c r="AL102" i="1"/>
  <c r="AK102" i="1"/>
  <c r="AJ102" i="1"/>
  <c r="AI102" i="1"/>
  <c r="AH102" i="1"/>
  <c r="AG102" i="1"/>
  <c r="AF102" i="1"/>
  <c r="AE102" i="1"/>
  <c r="AD102" i="1"/>
  <c r="AC102" i="1"/>
  <c r="AB102" i="1"/>
  <c r="AA102" i="1"/>
  <c r="Z102" i="1"/>
  <c r="Y102" i="1"/>
  <c r="X102" i="1"/>
  <c r="W102" i="1"/>
  <c r="V102" i="1"/>
  <c r="U102" i="1"/>
  <c r="T102" i="1"/>
  <c r="S102" i="1"/>
  <c r="R102" i="1"/>
  <c r="Q102" i="1"/>
  <c r="P102" i="1"/>
  <c r="O102" i="1"/>
  <c r="N102" i="1"/>
  <c r="M102" i="1"/>
  <c r="L102" i="1"/>
  <c r="K102" i="1"/>
  <c r="J102" i="1"/>
  <c r="I102" i="1"/>
  <c r="H102" i="1"/>
  <c r="G102" i="1"/>
  <c r="F102" i="1"/>
  <c r="E102" i="1"/>
  <c r="D102" i="1"/>
  <c r="C102" i="1"/>
  <c r="B102" i="1"/>
  <c r="AT101" i="1"/>
  <c r="AS101" i="1"/>
  <c r="AR101" i="1"/>
  <c r="AQ101" i="1"/>
  <c r="AP101" i="1"/>
  <c r="AO101" i="1"/>
  <c r="AN101" i="1"/>
  <c r="AM101" i="1"/>
  <c r="AL101" i="1"/>
  <c r="AK101" i="1"/>
  <c r="AJ101" i="1"/>
  <c r="AI101" i="1"/>
  <c r="AH101" i="1"/>
  <c r="AG101" i="1"/>
  <c r="AF101" i="1"/>
  <c r="AE101" i="1"/>
  <c r="AD101" i="1"/>
  <c r="AC101" i="1"/>
  <c r="AB101" i="1"/>
  <c r="AA101" i="1"/>
  <c r="Z101" i="1"/>
  <c r="Y101" i="1"/>
  <c r="X101" i="1"/>
  <c r="W101" i="1"/>
  <c r="V101" i="1"/>
  <c r="U101" i="1"/>
  <c r="T101" i="1"/>
  <c r="S101" i="1"/>
  <c r="R101" i="1"/>
  <c r="Q101" i="1"/>
  <c r="P101" i="1"/>
  <c r="O101" i="1"/>
  <c r="N101" i="1"/>
  <c r="M101" i="1"/>
  <c r="L101" i="1"/>
  <c r="K101" i="1"/>
  <c r="J101" i="1"/>
  <c r="I101" i="1"/>
  <c r="H101" i="1"/>
  <c r="G101" i="1"/>
  <c r="F101" i="1"/>
  <c r="E101" i="1"/>
  <c r="D101" i="1"/>
  <c r="C101" i="1"/>
  <c r="B101" i="1"/>
  <c r="AT100" i="1"/>
  <c r="AS100" i="1"/>
  <c r="AR100" i="1"/>
  <c r="AQ100" i="1"/>
  <c r="AP100" i="1"/>
  <c r="AO100" i="1"/>
  <c r="AN100" i="1"/>
  <c r="AM100" i="1"/>
  <c r="AL100" i="1"/>
  <c r="AK100" i="1"/>
  <c r="AJ100" i="1"/>
  <c r="AI100" i="1"/>
  <c r="AH100" i="1"/>
  <c r="AG100" i="1"/>
  <c r="AF100" i="1"/>
  <c r="AE100" i="1"/>
  <c r="AD100" i="1"/>
  <c r="AC100" i="1"/>
  <c r="AB100" i="1"/>
  <c r="AA100" i="1"/>
  <c r="Z100" i="1"/>
  <c r="Y100" i="1"/>
  <c r="X100" i="1"/>
  <c r="W100" i="1"/>
  <c r="V100" i="1"/>
  <c r="U100" i="1"/>
  <c r="T100" i="1"/>
  <c r="S100" i="1"/>
  <c r="R100" i="1"/>
  <c r="Q100" i="1"/>
  <c r="P100" i="1"/>
  <c r="O100" i="1"/>
  <c r="N100" i="1"/>
  <c r="M100" i="1"/>
  <c r="L100" i="1"/>
  <c r="K100" i="1"/>
  <c r="J100" i="1"/>
  <c r="I100" i="1"/>
  <c r="H100" i="1"/>
  <c r="G100" i="1"/>
  <c r="F100" i="1"/>
  <c r="E100" i="1"/>
  <c r="D100" i="1"/>
  <c r="C100" i="1"/>
  <c r="B100" i="1"/>
  <c r="AT99" i="1"/>
  <c r="AS99" i="1"/>
  <c r="AR99" i="1"/>
  <c r="AQ99" i="1"/>
  <c r="AP99" i="1"/>
  <c r="AO99" i="1"/>
  <c r="AN99" i="1"/>
  <c r="AM99" i="1"/>
  <c r="AL99" i="1"/>
  <c r="AK99" i="1"/>
  <c r="AJ99" i="1"/>
  <c r="AI99" i="1"/>
  <c r="AH99" i="1"/>
  <c r="AG99" i="1"/>
  <c r="AF99" i="1"/>
  <c r="AE99" i="1"/>
  <c r="AD99" i="1"/>
  <c r="AC99" i="1"/>
  <c r="AB99" i="1"/>
  <c r="AA99" i="1"/>
  <c r="Z99" i="1"/>
  <c r="Y99" i="1"/>
  <c r="X99" i="1"/>
  <c r="W99" i="1"/>
  <c r="V99" i="1"/>
  <c r="U99" i="1"/>
  <c r="T99" i="1"/>
  <c r="S99" i="1"/>
  <c r="R99" i="1"/>
  <c r="Q99" i="1"/>
  <c r="P99" i="1"/>
  <c r="O99" i="1"/>
  <c r="N99" i="1"/>
  <c r="M99" i="1"/>
  <c r="L99" i="1"/>
  <c r="K99" i="1"/>
  <c r="J99" i="1"/>
  <c r="I99" i="1"/>
  <c r="H99" i="1"/>
  <c r="G99" i="1"/>
  <c r="F99" i="1"/>
  <c r="E99" i="1"/>
  <c r="D99" i="1"/>
  <c r="C99" i="1"/>
  <c r="B99" i="1"/>
  <c r="AT98" i="1"/>
  <c r="AS98" i="1"/>
  <c r="AR98" i="1"/>
  <c r="AQ98" i="1"/>
  <c r="AP98" i="1"/>
  <c r="AO98" i="1"/>
  <c r="AN98" i="1"/>
  <c r="AM98" i="1"/>
  <c r="AL98" i="1"/>
  <c r="AK98" i="1"/>
  <c r="AJ98" i="1"/>
  <c r="AI98" i="1"/>
  <c r="AH98" i="1"/>
  <c r="AG98" i="1"/>
  <c r="AF98" i="1"/>
  <c r="AE98" i="1"/>
  <c r="AD98" i="1"/>
  <c r="AC98" i="1"/>
  <c r="AB98" i="1"/>
  <c r="AA98" i="1"/>
  <c r="Z98" i="1"/>
  <c r="Y98" i="1"/>
  <c r="X98" i="1"/>
  <c r="W98" i="1"/>
  <c r="V98" i="1"/>
  <c r="U98" i="1"/>
  <c r="T98" i="1"/>
  <c r="S98" i="1"/>
  <c r="R98" i="1"/>
  <c r="Q98" i="1"/>
  <c r="P98" i="1"/>
  <c r="O98" i="1"/>
  <c r="N98" i="1"/>
  <c r="M98" i="1"/>
  <c r="L98" i="1"/>
  <c r="K98" i="1"/>
  <c r="J98" i="1"/>
  <c r="I98" i="1"/>
  <c r="H98" i="1"/>
  <c r="G98" i="1"/>
  <c r="F98" i="1"/>
  <c r="E98" i="1"/>
  <c r="D98" i="1"/>
  <c r="C98" i="1"/>
  <c r="B98" i="1"/>
  <c r="AT97" i="1"/>
  <c r="AS97" i="1"/>
  <c r="AR97" i="1"/>
  <c r="AQ97" i="1"/>
  <c r="AP97" i="1"/>
  <c r="AO97" i="1"/>
  <c r="AN97" i="1"/>
  <c r="AM97" i="1"/>
  <c r="AL97" i="1"/>
  <c r="AK97" i="1"/>
  <c r="AJ97" i="1"/>
  <c r="AI97" i="1"/>
  <c r="AH97" i="1"/>
  <c r="AG97" i="1"/>
  <c r="AF97" i="1"/>
  <c r="AE97" i="1"/>
  <c r="AD97" i="1"/>
  <c r="AC97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J97" i="1"/>
  <c r="I97" i="1"/>
  <c r="H97" i="1"/>
  <c r="G97" i="1"/>
  <c r="F97" i="1"/>
  <c r="E97" i="1"/>
  <c r="D97" i="1"/>
  <c r="C97" i="1"/>
  <c r="B97" i="1"/>
  <c r="AT96" i="1"/>
  <c r="AS96" i="1"/>
  <c r="AR96" i="1"/>
  <c r="AQ96" i="1"/>
  <c r="AP96" i="1"/>
  <c r="AO96" i="1"/>
  <c r="AN96" i="1"/>
  <c r="AM96" i="1"/>
  <c r="AL96" i="1"/>
  <c r="AK96" i="1"/>
  <c r="AJ96" i="1"/>
  <c r="AI96" i="1"/>
  <c r="AH96" i="1"/>
  <c r="AG96" i="1"/>
  <c r="AF96" i="1"/>
  <c r="AE96" i="1"/>
  <c r="AD96" i="1"/>
  <c r="AC96" i="1"/>
  <c r="AB96" i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J96" i="1"/>
  <c r="I96" i="1"/>
  <c r="H96" i="1"/>
  <c r="G96" i="1"/>
  <c r="F96" i="1"/>
  <c r="E96" i="1"/>
  <c r="D96" i="1"/>
  <c r="C96" i="1"/>
  <c r="B96" i="1"/>
  <c r="AT95" i="1"/>
  <c r="AS95" i="1"/>
  <c r="AR95" i="1"/>
  <c r="AQ95" i="1"/>
  <c r="AP95" i="1"/>
  <c r="AO95" i="1"/>
  <c r="AN95" i="1"/>
  <c r="AM95" i="1"/>
  <c r="AL95" i="1"/>
  <c r="AK95" i="1"/>
  <c r="AJ95" i="1"/>
  <c r="AI95" i="1"/>
  <c r="AH95" i="1"/>
  <c r="AG95" i="1"/>
  <c r="AF95" i="1"/>
  <c r="AE95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I95" i="1"/>
  <c r="H95" i="1"/>
  <c r="G95" i="1"/>
  <c r="F95" i="1"/>
  <c r="E95" i="1"/>
  <c r="D95" i="1"/>
  <c r="C95" i="1"/>
  <c r="B95" i="1"/>
  <c r="AT94" i="1"/>
  <c r="AS94" i="1"/>
  <c r="AR94" i="1"/>
  <c r="AQ94" i="1"/>
  <c r="AP94" i="1"/>
  <c r="AO94" i="1"/>
  <c r="AN94" i="1"/>
  <c r="AM94" i="1"/>
  <c r="AL94" i="1"/>
  <c r="AK94" i="1"/>
  <c r="AJ94" i="1"/>
  <c r="AI94" i="1"/>
  <c r="AH94" i="1"/>
  <c r="AG94" i="1"/>
  <c r="AF94" i="1"/>
  <c r="AE94" i="1"/>
  <c r="AD94" i="1"/>
  <c r="AC94" i="1"/>
  <c r="AB94" i="1"/>
  <c r="AA94" i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J94" i="1"/>
  <c r="I94" i="1"/>
  <c r="H94" i="1"/>
  <c r="G94" i="1"/>
  <c r="F94" i="1"/>
  <c r="E94" i="1"/>
  <c r="D94" i="1"/>
  <c r="C94" i="1"/>
  <c r="B94" i="1"/>
  <c r="AT93" i="1"/>
  <c r="AS93" i="1"/>
  <c r="AR93" i="1"/>
  <c r="AQ93" i="1"/>
  <c r="AP93" i="1"/>
  <c r="AO93" i="1"/>
  <c r="AN93" i="1"/>
  <c r="AM93" i="1"/>
  <c r="AL93" i="1"/>
  <c r="AK93" i="1"/>
  <c r="AJ93" i="1"/>
  <c r="AI93" i="1"/>
  <c r="AH93" i="1"/>
  <c r="AG93" i="1"/>
  <c r="AF93" i="1"/>
  <c r="AE93" i="1"/>
  <c r="AD93" i="1"/>
  <c r="AC93" i="1"/>
  <c r="AB93" i="1"/>
  <c r="AA93" i="1"/>
  <c r="Z93" i="1"/>
  <c r="Y93" i="1"/>
  <c r="X93" i="1"/>
  <c r="W93" i="1"/>
  <c r="V93" i="1"/>
  <c r="U93" i="1"/>
  <c r="T93" i="1"/>
  <c r="S93" i="1"/>
  <c r="R93" i="1"/>
  <c r="Q93" i="1"/>
  <c r="P93" i="1"/>
  <c r="O93" i="1"/>
  <c r="N93" i="1"/>
  <c r="M93" i="1"/>
  <c r="L93" i="1"/>
  <c r="K93" i="1"/>
  <c r="J93" i="1"/>
  <c r="I93" i="1"/>
  <c r="H93" i="1"/>
  <c r="G93" i="1"/>
  <c r="F93" i="1"/>
  <c r="E93" i="1"/>
  <c r="D93" i="1"/>
  <c r="C93" i="1"/>
  <c r="B93" i="1"/>
  <c r="AT92" i="1"/>
  <c r="AS92" i="1"/>
  <c r="AR92" i="1"/>
  <c r="AQ92" i="1"/>
  <c r="AP92" i="1"/>
  <c r="AO92" i="1"/>
  <c r="AN92" i="1"/>
  <c r="AM92" i="1"/>
  <c r="AL92" i="1"/>
  <c r="AK92" i="1"/>
  <c r="AJ92" i="1"/>
  <c r="AI92" i="1"/>
  <c r="AH92" i="1"/>
  <c r="AG92" i="1"/>
  <c r="AF92" i="1"/>
  <c r="AE92" i="1"/>
  <c r="AD92" i="1"/>
  <c r="AC92" i="1"/>
  <c r="AB92" i="1"/>
  <c r="AA92" i="1"/>
  <c r="Z92" i="1"/>
  <c r="Y92" i="1"/>
  <c r="X92" i="1"/>
  <c r="W92" i="1"/>
  <c r="V92" i="1"/>
  <c r="U92" i="1"/>
  <c r="T92" i="1"/>
  <c r="S92" i="1"/>
  <c r="R92" i="1"/>
  <c r="Q92" i="1"/>
  <c r="P92" i="1"/>
  <c r="O92" i="1"/>
  <c r="N92" i="1"/>
  <c r="M92" i="1"/>
  <c r="L92" i="1"/>
  <c r="K92" i="1"/>
  <c r="J92" i="1"/>
  <c r="I92" i="1"/>
  <c r="H92" i="1"/>
  <c r="G92" i="1"/>
  <c r="F92" i="1"/>
  <c r="E92" i="1"/>
  <c r="D92" i="1"/>
  <c r="C92" i="1"/>
  <c r="B92" i="1"/>
  <c r="AT91" i="1"/>
  <c r="AS91" i="1"/>
  <c r="AR91" i="1"/>
  <c r="AQ91" i="1"/>
  <c r="AP91" i="1"/>
  <c r="AO91" i="1"/>
  <c r="AN91" i="1"/>
  <c r="AM91" i="1"/>
  <c r="AL91" i="1"/>
  <c r="AK91" i="1"/>
  <c r="AJ91" i="1"/>
  <c r="AI91" i="1"/>
  <c r="AH91" i="1"/>
  <c r="AG91" i="1"/>
  <c r="AF91" i="1"/>
  <c r="AE91" i="1"/>
  <c r="AD91" i="1"/>
  <c r="AC91" i="1"/>
  <c r="AB91" i="1"/>
  <c r="AA91" i="1"/>
  <c r="Z91" i="1"/>
  <c r="Y91" i="1"/>
  <c r="X91" i="1"/>
  <c r="W91" i="1"/>
  <c r="V91" i="1"/>
  <c r="U91" i="1"/>
  <c r="T91" i="1"/>
  <c r="S91" i="1"/>
  <c r="R91" i="1"/>
  <c r="Q91" i="1"/>
  <c r="P91" i="1"/>
  <c r="O91" i="1"/>
  <c r="N91" i="1"/>
  <c r="M91" i="1"/>
  <c r="L91" i="1"/>
  <c r="K91" i="1"/>
  <c r="J91" i="1"/>
  <c r="I91" i="1"/>
  <c r="H91" i="1"/>
  <c r="G91" i="1"/>
  <c r="F91" i="1"/>
  <c r="E91" i="1"/>
  <c r="D91" i="1"/>
  <c r="C91" i="1"/>
  <c r="B91" i="1"/>
  <c r="AT90" i="1"/>
  <c r="AS90" i="1"/>
  <c r="AR90" i="1"/>
  <c r="AQ90" i="1"/>
  <c r="AP90" i="1"/>
  <c r="AO90" i="1"/>
  <c r="AN90" i="1"/>
  <c r="AM90" i="1"/>
  <c r="AL90" i="1"/>
  <c r="AK90" i="1"/>
  <c r="AJ90" i="1"/>
  <c r="AI90" i="1"/>
  <c r="AH90" i="1"/>
  <c r="AG90" i="1"/>
  <c r="AF90" i="1"/>
  <c r="AE90" i="1"/>
  <c r="AD90" i="1"/>
  <c r="AC90" i="1"/>
  <c r="AB90" i="1"/>
  <c r="AA90" i="1"/>
  <c r="Z90" i="1"/>
  <c r="Y90" i="1"/>
  <c r="X90" i="1"/>
  <c r="W90" i="1"/>
  <c r="V90" i="1"/>
  <c r="U90" i="1"/>
  <c r="T90" i="1"/>
  <c r="S90" i="1"/>
  <c r="R90" i="1"/>
  <c r="Q90" i="1"/>
  <c r="P90" i="1"/>
  <c r="O90" i="1"/>
  <c r="N90" i="1"/>
  <c r="M90" i="1"/>
  <c r="L90" i="1"/>
  <c r="K90" i="1"/>
  <c r="J90" i="1"/>
  <c r="I90" i="1"/>
  <c r="H90" i="1"/>
  <c r="G90" i="1"/>
  <c r="F90" i="1"/>
  <c r="E90" i="1"/>
  <c r="D90" i="1"/>
  <c r="C90" i="1"/>
  <c r="B90" i="1"/>
  <c r="AT89" i="1"/>
  <c r="AS89" i="1"/>
  <c r="AR89" i="1"/>
  <c r="AQ89" i="1"/>
  <c r="AP89" i="1"/>
  <c r="AO89" i="1"/>
  <c r="AN89" i="1"/>
  <c r="AM89" i="1"/>
  <c r="AL89" i="1"/>
  <c r="AK89" i="1"/>
  <c r="AJ89" i="1"/>
  <c r="AI89" i="1"/>
  <c r="AH89" i="1"/>
  <c r="AG89" i="1"/>
  <c r="AF89" i="1"/>
  <c r="AE89" i="1"/>
  <c r="AD89" i="1"/>
  <c r="AC89" i="1"/>
  <c r="AB89" i="1"/>
  <c r="AA89" i="1"/>
  <c r="Z89" i="1"/>
  <c r="Y89" i="1"/>
  <c r="X89" i="1"/>
  <c r="W89" i="1"/>
  <c r="V89" i="1"/>
  <c r="U89" i="1"/>
  <c r="T89" i="1"/>
  <c r="S89" i="1"/>
  <c r="R89" i="1"/>
  <c r="Q89" i="1"/>
  <c r="P89" i="1"/>
  <c r="O89" i="1"/>
  <c r="N89" i="1"/>
  <c r="M89" i="1"/>
  <c r="L89" i="1"/>
  <c r="K89" i="1"/>
  <c r="J89" i="1"/>
  <c r="I89" i="1"/>
  <c r="H89" i="1"/>
  <c r="G89" i="1"/>
  <c r="F89" i="1"/>
  <c r="E89" i="1"/>
  <c r="D89" i="1"/>
  <c r="C89" i="1"/>
  <c r="B89" i="1"/>
  <c r="AT88" i="1"/>
  <c r="AS88" i="1"/>
  <c r="AR88" i="1"/>
  <c r="AQ88" i="1"/>
  <c r="AP88" i="1"/>
  <c r="AO88" i="1"/>
  <c r="AN88" i="1"/>
  <c r="AM88" i="1"/>
  <c r="AL88" i="1"/>
  <c r="AK88" i="1"/>
  <c r="AJ88" i="1"/>
  <c r="AI88" i="1"/>
  <c r="AH88" i="1"/>
  <c r="AG88" i="1"/>
  <c r="AF88" i="1"/>
  <c r="AE88" i="1"/>
  <c r="AD88" i="1"/>
  <c r="AC88" i="1"/>
  <c r="AB88" i="1"/>
  <c r="AA88" i="1"/>
  <c r="Z88" i="1"/>
  <c r="Y88" i="1"/>
  <c r="X88" i="1"/>
  <c r="W88" i="1"/>
  <c r="V88" i="1"/>
  <c r="U88" i="1"/>
  <c r="T88" i="1"/>
  <c r="S88" i="1"/>
  <c r="R88" i="1"/>
  <c r="Q88" i="1"/>
  <c r="P88" i="1"/>
  <c r="O88" i="1"/>
  <c r="N88" i="1"/>
  <c r="M88" i="1"/>
  <c r="L88" i="1"/>
  <c r="K88" i="1"/>
  <c r="J88" i="1"/>
  <c r="I88" i="1"/>
  <c r="H88" i="1"/>
  <c r="G88" i="1"/>
  <c r="F88" i="1"/>
  <c r="E88" i="1"/>
  <c r="D88" i="1"/>
  <c r="C88" i="1"/>
  <c r="B88" i="1"/>
  <c r="AT87" i="1"/>
  <c r="AS87" i="1"/>
  <c r="AR87" i="1"/>
  <c r="AQ87" i="1"/>
  <c r="AP87" i="1"/>
  <c r="AO87" i="1"/>
  <c r="AN87" i="1"/>
  <c r="AM87" i="1"/>
  <c r="AL87" i="1"/>
  <c r="AK87" i="1"/>
  <c r="AJ87" i="1"/>
  <c r="AI87" i="1"/>
  <c r="AH87" i="1"/>
  <c r="AG87" i="1"/>
  <c r="AF87" i="1"/>
  <c r="AE87" i="1"/>
  <c r="AD87" i="1"/>
  <c r="AC87" i="1"/>
  <c r="AB87" i="1"/>
  <c r="AA87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J87" i="1"/>
  <c r="I87" i="1"/>
  <c r="H87" i="1"/>
  <c r="G87" i="1"/>
  <c r="F87" i="1"/>
  <c r="E87" i="1"/>
  <c r="D87" i="1"/>
  <c r="C87" i="1"/>
  <c r="B87" i="1"/>
  <c r="AT86" i="1"/>
  <c r="AS86" i="1"/>
  <c r="AR86" i="1"/>
  <c r="AQ86" i="1"/>
  <c r="AP86" i="1"/>
  <c r="AO86" i="1"/>
  <c r="AN86" i="1"/>
  <c r="AM86" i="1"/>
  <c r="AL86" i="1"/>
  <c r="AK86" i="1"/>
  <c r="AJ86" i="1"/>
  <c r="AI86" i="1"/>
  <c r="AH86" i="1"/>
  <c r="AG86" i="1"/>
  <c r="AF86" i="1"/>
  <c r="AE86" i="1"/>
  <c r="AD86" i="1"/>
  <c r="AC86" i="1"/>
  <c r="AB86" i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I86" i="1"/>
  <c r="H86" i="1"/>
  <c r="G86" i="1"/>
  <c r="F86" i="1"/>
  <c r="E86" i="1"/>
  <c r="D86" i="1"/>
  <c r="C86" i="1"/>
  <c r="B86" i="1"/>
  <c r="AT85" i="1"/>
  <c r="AS85" i="1"/>
  <c r="AR85" i="1"/>
  <c r="AQ85" i="1"/>
  <c r="AP85" i="1"/>
  <c r="AO85" i="1"/>
  <c r="AN85" i="1"/>
  <c r="AM85" i="1"/>
  <c r="AL85" i="1"/>
  <c r="AK85" i="1"/>
  <c r="AJ85" i="1"/>
  <c r="AI85" i="1"/>
  <c r="AH85" i="1"/>
  <c r="AG85" i="1"/>
  <c r="AF85" i="1"/>
  <c r="AE85" i="1"/>
  <c r="AD85" i="1"/>
  <c r="AC85" i="1"/>
  <c r="AB85" i="1"/>
  <c r="AA85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J85" i="1"/>
  <c r="I85" i="1"/>
  <c r="H85" i="1"/>
  <c r="G85" i="1"/>
  <c r="F85" i="1"/>
  <c r="E85" i="1"/>
  <c r="D85" i="1"/>
  <c r="C85" i="1"/>
  <c r="B85" i="1"/>
  <c r="AT84" i="1"/>
  <c r="AS84" i="1"/>
  <c r="AR84" i="1"/>
  <c r="AQ84" i="1"/>
  <c r="AP84" i="1"/>
  <c r="AO84" i="1"/>
  <c r="AN84" i="1"/>
  <c r="AM84" i="1"/>
  <c r="AL84" i="1"/>
  <c r="AK84" i="1"/>
  <c r="AJ84" i="1"/>
  <c r="AI84" i="1"/>
  <c r="AH84" i="1"/>
  <c r="AG84" i="1"/>
  <c r="AF84" i="1"/>
  <c r="AE84" i="1"/>
  <c r="AD84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I84" i="1"/>
  <c r="H84" i="1"/>
  <c r="G84" i="1"/>
  <c r="F84" i="1"/>
  <c r="E84" i="1"/>
  <c r="D84" i="1"/>
  <c r="C84" i="1"/>
  <c r="B84" i="1"/>
  <c r="AT83" i="1"/>
  <c r="AS83" i="1"/>
  <c r="AR83" i="1"/>
  <c r="AQ83" i="1"/>
  <c r="AP83" i="1"/>
  <c r="AO83" i="1"/>
  <c r="AN83" i="1"/>
  <c r="AM83" i="1"/>
  <c r="AL83" i="1"/>
  <c r="AK83" i="1"/>
  <c r="AJ83" i="1"/>
  <c r="AI83" i="1"/>
  <c r="AH83" i="1"/>
  <c r="AG83" i="1"/>
  <c r="AF83" i="1"/>
  <c r="AE83" i="1"/>
  <c r="AD83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H83" i="1"/>
  <c r="G83" i="1"/>
  <c r="F83" i="1"/>
  <c r="E83" i="1"/>
  <c r="D83" i="1"/>
  <c r="C83" i="1"/>
  <c r="B83" i="1"/>
  <c r="AT82" i="1"/>
  <c r="AS82" i="1"/>
  <c r="AR82" i="1"/>
  <c r="AQ82" i="1"/>
  <c r="AP82" i="1"/>
  <c r="AO82" i="1"/>
  <c r="AN82" i="1"/>
  <c r="AM82" i="1"/>
  <c r="AL82" i="1"/>
  <c r="AK82" i="1"/>
  <c r="AJ82" i="1"/>
  <c r="AI82" i="1"/>
  <c r="AH82" i="1"/>
  <c r="AG82" i="1"/>
  <c r="AF82" i="1"/>
  <c r="AE82" i="1"/>
  <c r="AD82" i="1"/>
  <c r="AC82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I82" i="1"/>
  <c r="H82" i="1"/>
  <c r="G82" i="1"/>
  <c r="F82" i="1"/>
  <c r="E82" i="1"/>
  <c r="D82" i="1"/>
  <c r="C82" i="1"/>
  <c r="B82" i="1"/>
  <c r="AT81" i="1"/>
  <c r="AS81" i="1"/>
  <c r="AR81" i="1"/>
  <c r="AQ81" i="1"/>
  <c r="AP81" i="1"/>
  <c r="AO81" i="1"/>
  <c r="AN81" i="1"/>
  <c r="AM81" i="1"/>
  <c r="AL81" i="1"/>
  <c r="AK81" i="1"/>
  <c r="AJ81" i="1"/>
  <c r="AI81" i="1"/>
  <c r="AH81" i="1"/>
  <c r="AG81" i="1"/>
  <c r="AF81" i="1"/>
  <c r="AE81" i="1"/>
  <c r="AD81" i="1"/>
  <c r="AC81" i="1"/>
  <c r="AB81" i="1"/>
  <c r="AA81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K81" i="1"/>
  <c r="J81" i="1"/>
  <c r="I81" i="1"/>
  <c r="H81" i="1"/>
  <c r="G81" i="1"/>
  <c r="F81" i="1"/>
  <c r="E81" i="1"/>
  <c r="D81" i="1"/>
  <c r="C81" i="1"/>
  <c r="B81" i="1"/>
  <c r="AT80" i="1"/>
  <c r="AS80" i="1"/>
  <c r="AR80" i="1"/>
  <c r="AQ80" i="1"/>
  <c r="AP80" i="1"/>
  <c r="AO80" i="1"/>
  <c r="AN80" i="1"/>
  <c r="AM80" i="1"/>
  <c r="AL80" i="1"/>
  <c r="AK80" i="1"/>
  <c r="AJ80" i="1"/>
  <c r="AI80" i="1"/>
  <c r="AH80" i="1"/>
  <c r="AG80" i="1"/>
  <c r="AF80" i="1"/>
  <c r="AE80" i="1"/>
  <c r="AD80" i="1"/>
  <c r="AC80" i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I80" i="1"/>
  <c r="H80" i="1"/>
  <c r="G80" i="1"/>
  <c r="F80" i="1"/>
  <c r="E80" i="1"/>
  <c r="D80" i="1"/>
  <c r="C80" i="1"/>
  <c r="B80" i="1"/>
  <c r="AT79" i="1"/>
  <c r="AS79" i="1"/>
  <c r="AR79" i="1"/>
  <c r="AQ79" i="1"/>
  <c r="AP79" i="1"/>
  <c r="AO79" i="1"/>
  <c r="AN79" i="1"/>
  <c r="AM79" i="1"/>
  <c r="AL79" i="1"/>
  <c r="AK79" i="1"/>
  <c r="AJ79" i="1"/>
  <c r="AI79" i="1"/>
  <c r="AH79" i="1"/>
  <c r="AG79" i="1"/>
  <c r="AF79" i="1"/>
  <c r="AE79" i="1"/>
  <c r="AD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I79" i="1"/>
  <c r="H79" i="1"/>
  <c r="G79" i="1"/>
  <c r="F79" i="1"/>
  <c r="E79" i="1"/>
  <c r="D79" i="1"/>
  <c r="C79" i="1"/>
  <c r="B79" i="1"/>
  <c r="AT78" i="1"/>
  <c r="AS78" i="1"/>
  <c r="AR78" i="1"/>
  <c r="AQ78" i="1"/>
  <c r="AP78" i="1"/>
  <c r="AO78" i="1"/>
  <c r="AN78" i="1"/>
  <c r="AM78" i="1"/>
  <c r="AL78" i="1"/>
  <c r="AK78" i="1"/>
  <c r="AJ78" i="1"/>
  <c r="AI78" i="1"/>
  <c r="AH78" i="1"/>
  <c r="AG78" i="1"/>
  <c r="AF78" i="1"/>
  <c r="AE78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I78" i="1"/>
  <c r="H78" i="1"/>
  <c r="G78" i="1"/>
  <c r="F78" i="1"/>
  <c r="E78" i="1"/>
  <c r="D78" i="1"/>
  <c r="C78" i="1"/>
  <c r="B78" i="1"/>
  <c r="AT77" i="1"/>
  <c r="AS77" i="1"/>
  <c r="AR77" i="1"/>
  <c r="AQ77" i="1"/>
  <c r="AP77" i="1"/>
  <c r="AO77" i="1"/>
  <c r="AN77" i="1"/>
  <c r="AM77" i="1"/>
  <c r="AL77" i="1"/>
  <c r="AK77" i="1"/>
  <c r="AJ77" i="1"/>
  <c r="AI77" i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I77" i="1"/>
  <c r="H77" i="1"/>
  <c r="G77" i="1"/>
  <c r="F77" i="1"/>
  <c r="E77" i="1"/>
  <c r="D77" i="1"/>
  <c r="C77" i="1"/>
  <c r="B77" i="1"/>
  <c r="AT76" i="1"/>
  <c r="AS76" i="1"/>
  <c r="AR76" i="1"/>
  <c r="AQ76" i="1"/>
  <c r="AP76" i="1"/>
  <c r="AO76" i="1"/>
  <c r="AN76" i="1"/>
  <c r="AM76" i="1"/>
  <c r="AL76" i="1"/>
  <c r="AK76" i="1"/>
  <c r="AJ76" i="1"/>
  <c r="AI76" i="1"/>
  <c r="AH76" i="1"/>
  <c r="AG76" i="1"/>
  <c r="AF76" i="1"/>
  <c r="AE76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H76" i="1"/>
  <c r="G76" i="1"/>
  <c r="F76" i="1"/>
  <c r="E76" i="1"/>
  <c r="D76" i="1"/>
  <c r="C76" i="1"/>
  <c r="B76" i="1"/>
  <c r="AT75" i="1"/>
  <c r="AS75" i="1"/>
  <c r="AR75" i="1"/>
  <c r="AQ75" i="1"/>
  <c r="AP75" i="1"/>
  <c r="AO75" i="1"/>
  <c r="AN75" i="1"/>
  <c r="AM75" i="1"/>
  <c r="AL75" i="1"/>
  <c r="AK75" i="1"/>
  <c r="AJ75" i="1"/>
  <c r="AI75" i="1"/>
  <c r="AH75" i="1"/>
  <c r="AG75" i="1"/>
  <c r="AF75" i="1"/>
  <c r="AE75" i="1"/>
  <c r="A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I75" i="1"/>
  <c r="H75" i="1"/>
  <c r="G75" i="1"/>
  <c r="F75" i="1"/>
  <c r="E75" i="1"/>
  <c r="D75" i="1"/>
  <c r="C75" i="1"/>
  <c r="B75" i="1"/>
  <c r="AT74" i="1"/>
  <c r="AS74" i="1"/>
  <c r="AR74" i="1"/>
  <c r="AQ74" i="1"/>
  <c r="AP74" i="1"/>
  <c r="AO74" i="1"/>
  <c r="AN74" i="1"/>
  <c r="AM74" i="1"/>
  <c r="AL74" i="1"/>
  <c r="AK74" i="1"/>
  <c r="AJ74" i="1"/>
  <c r="AI74" i="1"/>
  <c r="AH74" i="1"/>
  <c r="AG74" i="1"/>
  <c r="AF74" i="1"/>
  <c r="AE74" i="1"/>
  <c r="AD74" i="1"/>
  <c r="AC74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I74" i="1"/>
  <c r="H74" i="1"/>
  <c r="G74" i="1"/>
  <c r="F74" i="1"/>
  <c r="E74" i="1"/>
  <c r="D74" i="1"/>
  <c r="C74" i="1"/>
  <c r="B74" i="1"/>
  <c r="AT73" i="1"/>
  <c r="AS73" i="1"/>
  <c r="AR73" i="1"/>
  <c r="AQ73" i="1"/>
  <c r="AP73" i="1"/>
  <c r="AO73" i="1"/>
  <c r="AN73" i="1"/>
  <c r="AM73" i="1"/>
  <c r="AL73" i="1"/>
  <c r="AK73" i="1"/>
  <c r="AJ73" i="1"/>
  <c r="AI73" i="1"/>
  <c r="AH73" i="1"/>
  <c r="AG73" i="1"/>
  <c r="AF73" i="1"/>
  <c r="AE73" i="1"/>
  <c r="AD73" i="1"/>
  <c r="AC73" i="1"/>
  <c r="AB73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J73" i="1"/>
  <c r="I73" i="1"/>
  <c r="H73" i="1"/>
  <c r="G73" i="1"/>
  <c r="F73" i="1"/>
  <c r="E73" i="1"/>
  <c r="D73" i="1"/>
  <c r="C73" i="1"/>
  <c r="B73" i="1"/>
  <c r="AT72" i="1"/>
  <c r="AS72" i="1"/>
  <c r="AR72" i="1"/>
  <c r="AQ72" i="1"/>
  <c r="AP72" i="1"/>
  <c r="AO72" i="1"/>
  <c r="AN72" i="1"/>
  <c r="AM72" i="1"/>
  <c r="AL72" i="1"/>
  <c r="AK72" i="1"/>
  <c r="AJ72" i="1"/>
  <c r="AI72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H72" i="1"/>
  <c r="G72" i="1"/>
  <c r="F72" i="1"/>
  <c r="E72" i="1"/>
  <c r="D72" i="1"/>
  <c r="C72" i="1"/>
  <c r="B72" i="1"/>
  <c r="AT71" i="1"/>
  <c r="AS71" i="1"/>
  <c r="AR71" i="1"/>
  <c r="AQ71" i="1"/>
  <c r="AP71" i="1"/>
  <c r="AO71" i="1"/>
  <c r="AN71" i="1"/>
  <c r="AM71" i="1"/>
  <c r="AL71" i="1"/>
  <c r="AK71" i="1"/>
  <c r="AJ71" i="1"/>
  <c r="AI71" i="1"/>
  <c r="AH71" i="1"/>
  <c r="AG71" i="1"/>
  <c r="AF71" i="1"/>
  <c r="AE71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H71" i="1"/>
  <c r="G71" i="1"/>
  <c r="F71" i="1"/>
  <c r="E71" i="1"/>
  <c r="D71" i="1"/>
  <c r="C71" i="1"/>
  <c r="B71" i="1"/>
  <c r="AT70" i="1"/>
  <c r="AS70" i="1"/>
  <c r="AR70" i="1"/>
  <c r="AQ70" i="1"/>
  <c r="AP70" i="1"/>
  <c r="AO70" i="1"/>
  <c r="AN70" i="1"/>
  <c r="AM70" i="1"/>
  <c r="AL70" i="1"/>
  <c r="AK70" i="1"/>
  <c r="AJ70" i="1"/>
  <c r="AI70" i="1"/>
  <c r="AH70" i="1"/>
  <c r="AG70" i="1"/>
  <c r="AF70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F70" i="1"/>
  <c r="E70" i="1"/>
  <c r="D70" i="1"/>
  <c r="C70" i="1"/>
  <c r="B70" i="1"/>
  <c r="AT69" i="1"/>
  <c r="AS69" i="1"/>
  <c r="AR69" i="1"/>
  <c r="AQ69" i="1"/>
  <c r="AP69" i="1"/>
  <c r="AO69" i="1"/>
  <c r="AN69" i="1"/>
  <c r="AM69" i="1"/>
  <c r="AL69" i="1"/>
  <c r="AK69" i="1"/>
  <c r="AJ69" i="1"/>
  <c r="AI69" i="1"/>
  <c r="AH69" i="1"/>
  <c r="AG69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I69" i="1"/>
  <c r="H69" i="1"/>
  <c r="G69" i="1"/>
  <c r="F69" i="1"/>
  <c r="E69" i="1"/>
  <c r="D69" i="1"/>
  <c r="C69" i="1"/>
  <c r="B69" i="1"/>
  <c r="AT68" i="1"/>
  <c r="AS68" i="1"/>
  <c r="AR68" i="1"/>
  <c r="AQ68" i="1"/>
  <c r="AP68" i="1"/>
  <c r="AO68" i="1"/>
  <c r="AN68" i="1"/>
  <c r="AM68" i="1"/>
  <c r="AL68" i="1"/>
  <c r="AK68" i="1"/>
  <c r="AJ68" i="1"/>
  <c r="AI68" i="1"/>
  <c r="AH68" i="1"/>
  <c r="AG68" i="1"/>
  <c r="AF68" i="1"/>
  <c r="AE68" i="1"/>
  <c r="AD68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G68" i="1"/>
  <c r="F68" i="1"/>
  <c r="E68" i="1"/>
  <c r="D68" i="1"/>
  <c r="C68" i="1"/>
  <c r="B68" i="1"/>
  <c r="AT67" i="1"/>
  <c r="AS67" i="1"/>
  <c r="AR67" i="1"/>
  <c r="AQ67" i="1"/>
  <c r="AP67" i="1"/>
  <c r="AO67" i="1"/>
  <c r="AN67" i="1"/>
  <c r="AM67" i="1"/>
  <c r="AL67" i="1"/>
  <c r="AK67" i="1"/>
  <c r="AJ67" i="1"/>
  <c r="AI67" i="1"/>
  <c r="AH67" i="1"/>
  <c r="AG67" i="1"/>
  <c r="AF67" i="1"/>
  <c r="AE67" i="1"/>
  <c r="AD67" i="1"/>
  <c r="AC67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F67" i="1"/>
  <c r="E67" i="1"/>
  <c r="D67" i="1"/>
  <c r="C67" i="1"/>
  <c r="B67" i="1"/>
  <c r="AT66" i="1"/>
  <c r="AS66" i="1"/>
  <c r="AR66" i="1"/>
  <c r="AQ66" i="1"/>
  <c r="AP66" i="1"/>
  <c r="AO66" i="1"/>
  <c r="AN66" i="1"/>
  <c r="AM66" i="1"/>
  <c r="AL66" i="1"/>
  <c r="AK66" i="1"/>
  <c r="AJ66" i="1"/>
  <c r="AI66" i="1"/>
  <c r="AH66" i="1"/>
  <c r="AG66" i="1"/>
  <c r="AF66" i="1"/>
  <c r="AE66" i="1"/>
  <c r="AD66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I66" i="1"/>
  <c r="H66" i="1"/>
  <c r="G66" i="1"/>
  <c r="F66" i="1"/>
  <c r="E66" i="1"/>
  <c r="D66" i="1"/>
  <c r="C66" i="1"/>
  <c r="B66" i="1"/>
  <c r="AT65" i="1"/>
  <c r="AS65" i="1"/>
  <c r="AR65" i="1"/>
  <c r="AQ65" i="1"/>
  <c r="AP65" i="1"/>
  <c r="AO65" i="1"/>
  <c r="AN65" i="1"/>
  <c r="AM65" i="1"/>
  <c r="AL65" i="1"/>
  <c r="AK65" i="1"/>
  <c r="AJ65" i="1"/>
  <c r="AI65" i="1"/>
  <c r="AH65" i="1"/>
  <c r="AG65" i="1"/>
  <c r="AF65" i="1"/>
  <c r="AE65" i="1"/>
  <c r="AD65" i="1"/>
  <c r="AC65" i="1"/>
  <c r="AB65" i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I65" i="1"/>
  <c r="H65" i="1"/>
  <c r="G65" i="1"/>
  <c r="F65" i="1"/>
  <c r="E65" i="1"/>
  <c r="D65" i="1"/>
  <c r="C65" i="1"/>
  <c r="B65" i="1"/>
  <c r="AT64" i="1"/>
  <c r="AS64" i="1"/>
  <c r="AR64" i="1"/>
  <c r="AQ64" i="1"/>
  <c r="AP64" i="1"/>
  <c r="AO64" i="1"/>
  <c r="AN64" i="1"/>
  <c r="AM64" i="1"/>
  <c r="AL64" i="1"/>
  <c r="AK64" i="1"/>
  <c r="AJ64" i="1"/>
  <c r="AI64" i="1"/>
  <c r="AH64" i="1"/>
  <c r="AG64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D64" i="1"/>
  <c r="C64" i="1"/>
  <c r="B64" i="1"/>
  <c r="AT63" i="1"/>
  <c r="AS63" i="1"/>
  <c r="AR63" i="1"/>
  <c r="AQ63" i="1"/>
  <c r="AP63" i="1"/>
  <c r="AO63" i="1"/>
  <c r="AN63" i="1"/>
  <c r="AM63" i="1"/>
  <c r="AL63" i="1"/>
  <c r="AK63" i="1"/>
  <c r="AJ63" i="1"/>
  <c r="AI63" i="1"/>
  <c r="AH63" i="1"/>
  <c r="AG63" i="1"/>
  <c r="AF63" i="1"/>
  <c r="AE63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E63" i="1"/>
  <c r="D63" i="1"/>
  <c r="C63" i="1"/>
  <c r="B63" i="1"/>
  <c r="AT62" i="1"/>
  <c r="AS62" i="1"/>
  <c r="AR62" i="1"/>
  <c r="AQ62" i="1"/>
  <c r="AP62" i="1"/>
  <c r="AO62" i="1"/>
  <c r="AN62" i="1"/>
  <c r="AM62" i="1"/>
  <c r="AL62" i="1"/>
  <c r="AK62" i="1"/>
  <c r="AJ62" i="1"/>
  <c r="AI62" i="1"/>
  <c r="AH62" i="1"/>
  <c r="AG62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F62" i="1"/>
  <c r="E62" i="1"/>
  <c r="D62" i="1"/>
  <c r="C62" i="1"/>
  <c r="B62" i="1"/>
  <c r="AT61" i="1"/>
  <c r="AS61" i="1"/>
  <c r="AR61" i="1"/>
  <c r="AQ61" i="1"/>
  <c r="AP61" i="1"/>
  <c r="AO61" i="1"/>
  <c r="AN61" i="1"/>
  <c r="AM61" i="1"/>
  <c r="AL61" i="1"/>
  <c r="AK61" i="1"/>
  <c r="AJ61" i="1"/>
  <c r="AI61" i="1"/>
  <c r="AH61" i="1"/>
  <c r="AG61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F61" i="1"/>
  <c r="E61" i="1"/>
  <c r="D61" i="1"/>
  <c r="C61" i="1"/>
  <c r="B61" i="1"/>
  <c r="AT60" i="1"/>
  <c r="AS60" i="1"/>
  <c r="AR60" i="1"/>
  <c r="AQ60" i="1"/>
  <c r="AP60" i="1"/>
  <c r="AO60" i="1"/>
  <c r="AN60" i="1"/>
  <c r="AM60" i="1"/>
  <c r="AL60" i="1"/>
  <c r="AK60" i="1"/>
  <c r="AJ60" i="1"/>
  <c r="AI60" i="1"/>
  <c r="AH60" i="1"/>
  <c r="AG60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I60" i="1"/>
  <c r="H60" i="1"/>
  <c r="G60" i="1"/>
  <c r="F60" i="1"/>
  <c r="E60" i="1"/>
  <c r="D60" i="1"/>
  <c r="C60" i="1"/>
  <c r="B60" i="1"/>
  <c r="AT59" i="1"/>
  <c r="AS59" i="1"/>
  <c r="AR59" i="1"/>
  <c r="AQ59" i="1"/>
  <c r="AP59" i="1"/>
  <c r="AO59" i="1"/>
  <c r="AN59" i="1"/>
  <c r="AM59" i="1"/>
  <c r="AL59" i="1"/>
  <c r="AK59" i="1"/>
  <c r="AJ59" i="1"/>
  <c r="AI59" i="1"/>
  <c r="AH59" i="1"/>
  <c r="AG59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C59" i="1"/>
  <c r="B59" i="1"/>
  <c r="AT58" i="1"/>
  <c r="AS58" i="1"/>
  <c r="AR58" i="1"/>
  <c r="AQ58" i="1"/>
  <c r="AP58" i="1"/>
  <c r="AO58" i="1"/>
  <c r="AN58" i="1"/>
  <c r="AM58" i="1"/>
  <c r="AL58" i="1"/>
  <c r="AK58" i="1"/>
  <c r="AJ58" i="1"/>
  <c r="AI58" i="1"/>
  <c r="AH58" i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C58" i="1"/>
  <c r="B58" i="1"/>
  <c r="BC255" i="1" l="1"/>
  <c r="BC247" i="1"/>
  <c r="BC239" i="1"/>
  <c r="BC231" i="1"/>
  <c r="BC223" i="1"/>
  <c r="BC258" i="1"/>
  <c r="BC250" i="1"/>
  <c r="BC242" i="1"/>
  <c r="BC234" i="1"/>
  <c r="BC218" i="1"/>
  <c r="BC257" i="1"/>
  <c r="BC253" i="1"/>
  <c r="BC249" i="1"/>
  <c r="BC245" i="1"/>
  <c r="BC241" i="1"/>
  <c r="BC237" i="1"/>
  <c r="BC233" i="1"/>
  <c r="BC229" i="1"/>
  <c r="BC225" i="1"/>
  <c r="BC221" i="1"/>
  <c r="BC217" i="1"/>
  <c r="BC259" i="1"/>
  <c r="BC251" i="1"/>
  <c r="BC243" i="1"/>
  <c r="BC235" i="1"/>
  <c r="BC227" i="1"/>
  <c r="BC219" i="1"/>
  <c r="BC254" i="1"/>
  <c r="BC246" i="1"/>
  <c r="BC238" i="1"/>
  <c r="BC230" i="1"/>
  <c r="BC226" i="1"/>
  <c r="BC222" i="1"/>
  <c r="BC260" i="1"/>
  <c r="BC256" i="1"/>
  <c r="BC252" i="1"/>
  <c r="BC248" i="1"/>
  <c r="BC244" i="1"/>
  <c r="BC240" i="1"/>
  <c r="BC236" i="1"/>
  <c r="BC232" i="1"/>
  <c r="BC228" i="1"/>
  <c r="BC224" i="1"/>
  <c r="BC220" i="1"/>
  <c r="AG199" i="1"/>
  <c r="G114" i="1"/>
  <c r="G164" i="1" s="1"/>
  <c r="Q114" i="1"/>
  <c r="Q164" i="1" s="1"/>
  <c r="AB114" i="1"/>
  <c r="AB164" i="1" s="1"/>
  <c r="AM114" i="1"/>
  <c r="AM164" i="1" s="1"/>
  <c r="D115" i="1"/>
  <c r="D165" i="1" s="1"/>
  <c r="O115" i="1"/>
  <c r="O165" i="1" s="1"/>
  <c r="Z115" i="1"/>
  <c r="Z165" i="1" s="1"/>
  <c r="AJ115" i="1"/>
  <c r="AJ165" i="1" s="1"/>
  <c r="B116" i="1"/>
  <c r="B166" i="1" s="1"/>
  <c r="M116" i="1"/>
  <c r="M166" i="1" s="1"/>
  <c r="W116" i="1"/>
  <c r="W166" i="1" s="1"/>
  <c r="AH116" i="1"/>
  <c r="AH166" i="1" s="1"/>
  <c r="AS116" i="1"/>
  <c r="AS166" i="1" s="1"/>
  <c r="J117" i="1"/>
  <c r="J167" i="1" s="1"/>
  <c r="U117" i="1"/>
  <c r="U167" i="1" s="1"/>
  <c r="AF117" i="1"/>
  <c r="AF167" i="1" s="1"/>
  <c r="AP117" i="1"/>
  <c r="AP167" i="1" s="1"/>
  <c r="H118" i="1"/>
  <c r="H168" i="1" s="1"/>
  <c r="S118" i="1"/>
  <c r="S168" i="1" s="1"/>
  <c r="AC118" i="1"/>
  <c r="AC168" i="1" s="1"/>
  <c r="AN118" i="1"/>
  <c r="AN168" i="1" s="1"/>
  <c r="F119" i="1"/>
  <c r="F169" i="1" s="1"/>
  <c r="P119" i="1"/>
  <c r="P169" i="1" s="1"/>
  <c r="AA119" i="1"/>
  <c r="AA169" i="1" s="1"/>
  <c r="AL119" i="1"/>
  <c r="AL169" i="1" s="1"/>
  <c r="C120" i="1"/>
  <c r="C170" i="1" s="1"/>
  <c r="N120" i="1"/>
  <c r="N170" i="1" s="1"/>
  <c r="Y120" i="1"/>
  <c r="Y170" i="1" s="1"/>
  <c r="AI120" i="1"/>
  <c r="AI170" i="1" s="1"/>
  <c r="AT120" i="1"/>
  <c r="AT170" i="1" s="1"/>
  <c r="L121" i="1"/>
  <c r="L171" i="1" s="1"/>
  <c r="V121" i="1"/>
  <c r="V171" i="1" s="1"/>
  <c r="AG121" i="1"/>
  <c r="AG171" i="1" s="1"/>
  <c r="AR121" i="1"/>
  <c r="AR171" i="1" s="1"/>
  <c r="I122" i="1"/>
  <c r="I172" i="1" s="1"/>
  <c r="T122" i="1"/>
  <c r="T172" i="1" s="1"/>
  <c r="AE122" i="1"/>
  <c r="AE172" i="1" s="1"/>
  <c r="AO122" i="1"/>
  <c r="AO172" i="1" s="1"/>
  <c r="G123" i="1"/>
  <c r="G173" i="1" s="1"/>
  <c r="R123" i="1"/>
  <c r="R173" i="1" s="1"/>
  <c r="AB123" i="1"/>
  <c r="AB173" i="1" s="1"/>
  <c r="AM123" i="1"/>
  <c r="AM173" i="1" s="1"/>
  <c r="E124" i="1"/>
  <c r="E174" i="1" s="1"/>
  <c r="O124" i="1"/>
  <c r="O174" i="1" s="1"/>
  <c r="Z124" i="1"/>
  <c r="Z174" i="1" s="1"/>
  <c r="AK124" i="1"/>
  <c r="AK174" i="1" s="1"/>
  <c r="B125" i="1"/>
  <c r="B175" i="1" s="1"/>
  <c r="M125" i="1"/>
  <c r="M175" i="1" s="1"/>
  <c r="X125" i="1"/>
  <c r="X175" i="1" s="1"/>
  <c r="AH125" i="1"/>
  <c r="AH175" i="1" s="1"/>
  <c r="AS125" i="1"/>
  <c r="AS175" i="1" s="1"/>
  <c r="K126" i="1"/>
  <c r="K176" i="1" s="1"/>
  <c r="U126" i="1"/>
  <c r="U176" i="1" s="1"/>
  <c r="AF126" i="1"/>
  <c r="AF176" i="1" s="1"/>
  <c r="AQ126" i="1"/>
  <c r="AQ176" i="1" s="1"/>
  <c r="H127" i="1"/>
  <c r="H177" i="1" s="1"/>
  <c r="S127" i="1"/>
  <c r="S177" i="1" s="1"/>
  <c r="AD127" i="1"/>
  <c r="AD177" i="1" s="1"/>
  <c r="AN127" i="1"/>
  <c r="AN177" i="1" s="1"/>
  <c r="F128" i="1"/>
  <c r="F178" i="1" s="1"/>
  <c r="Q128" i="1"/>
  <c r="Q178" i="1" s="1"/>
  <c r="AA128" i="1"/>
  <c r="AA178" i="1" s="1"/>
  <c r="AL128" i="1"/>
  <c r="AL178" i="1" s="1"/>
  <c r="D129" i="1"/>
  <c r="D179" i="1" s="1"/>
  <c r="N129" i="1"/>
  <c r="N179" i="1" s="1"/>
  <c r="Y129" i="1"/>
  <c r="Y179" i="1" s="1"/>
  <c r="AJ129" i="1"/>
  <c r="AJ179" i="1" s="1"/>
  <c r="AT129" i="1"/>
  <c r="AT179" i="1" s="1"/>
  <c r="L130" i="1"/>
  <c r="L180" i="1" s="1"/>
  <c r="W130" i="1"/>
  <c r="W180" i="1" s="1"/>
  <c r="AG130" i="1"/>
  <c r="AG180" i="1" s="1"/>
  <c r="AR130" i="1"/>
  <c r="AR180" i="1" s="1"/>
  <c r="J131" i="1"/>
  <c r="J181" i="1" s="1"/>
  <c r="T131" i="1"/>
  <c r="T181" i="1" s="1"/>
  <c r="AE131" i="1"/>
  <c r="AE181" i="1" s="1"/>
  <c r="AP131" i="1"/>
  <c r="AP181" i="1" s="1"/>
  <c r="G132" i="1"/>
  <c r="G182" i="1" s="1"/>
  <c r="R132" i="1"/>
  <c r="R182" i="1" s="1"/>
  <c r="AC132" i="1"/>
  <c r="AC182" i="1" s="1"/>
  <c r="AM132" i="1"/>
  <c r="AM182" i="1" s="1"/>
  <c r="E133" i="1"/>
  <c r="E183" i="1" s="1"/>
  <c r="P133" i="1"/>
  <c r="P183" i="1" s="1"/>
  <c r="Z133" i="1"/>
  <c r="Z183" i="1" s="1"/>
  <c r="AK133" i="1"/>
  <c r="AK183" i="1" s="1"/>
  <c r="C134" i="1"/>
  <c r="C184" i="1" s="1"/>
  <c r="M134" i="1"/>
  <c r="M184" i="1" s="1"/>
  <c r="X134" i="1"/>
  <c r="X184" i="1" s="1"/>
  <c r="AI134" i="1"/>
  <c r="AI184" i="1" s="1"/>
  <c r="AS134" i="1"/>
  <c r="AS184" i="1" s="1"/>
  <c r="K135" i="1"/>
  <c r="K185" i="1" s="1"/>
  <c r="V135" i="1"/>
  <c r="V185" i="1" s="1"/>
  <c r="AF135" i="1"/>
  <c r="AF185" i="1" s="1"/>
  <c r="AQ135" i="1"/>
  <c r="AQ185" i="1" s="1"/>
  <c r="I136" i="1"/>
  <c r="I186" i="1" s="1"/>
  <c r="S136" i="1"/>
  <c r="S186" i="1" s="1"/>
  <c r="AD136" i="1"/>
  <c r="AD186" i="1" s="1"/>
  <c r="AO136" i="1"/>
  <c r="AO186" i="1" s="1"/>
  <c r="F137" i="1"/>
  <c r="F187" i="1" s="1"/>
  <c r="Q137" i="1"/>
  <c r="Q187" i="1" s="1"/>
  <c r="AB137" i="1"/>
  <c r="AB187" i="1" s="1"/>
  <c r="AL137" i="1"/>
  <c r="AL187" i="1" s="1"/>
  <c r="D138" i="1"/>
  <c r="D188" i="1" s="1"/>
  <c r="O138" i="1"/>
  <c r="O188" i="1" s="1"/>
  <c r="Y138" i="1"/>
  <c r="Y188" i="1" s="1"/>
  <c r="AJ138" i="1"/>
  <c r="AJ188" i="1" s="1"/>
  <c r="B139" i="1"/>
  <c r="B189" i="1" s="1"/>
  <c r="L139" i="1"/>
  <c r="L189" i="1" s="1"/>
  <c r="W139" i="1"/>
  <c r="W189" i="1" s="1"/>
  <c r="AH139" i="1"/>
  <c r="AH189" i="1" s="1"/>
  <c r="AR139" i="1"/>
  <c r="AR189" i="1" s="1"/>
  <c r="J140" i="1"/>
  <c r="J190" i="1" s="1"/>
  <c r="U140" i="1"/>
  <c r="U190" i="1" s="1"/>
  <c r="AE140" i="1"/>
  <c r="AE190" i="1" s="1"/>
  <c r="AP140" i="1"/>
  <c r="AP190" i="1" s="1"/>
  <c r="H141" i="1"/>
  <c r="H191" i="1" s="1"/>
  <c r="R141" i="1"/>
  <c r="R191" i="1" s="1"/>
  <c r="AC141" i="1"/>
  <c r="AC191" i="1" s="1"/>
  <c r="AN141" i="1"/>
  <c r="AN191" i="1" s="1"/>
  <c r="E142" i="1"/>
  <c r="E192" i="1" s="1"/>
  <c r="P142" i="1"/>
  <c r="P192" i="1" s="1"/>
  <c r="AB142" i="1"/>
  <c r="AB192" i="1" s="1"/>
  <c r="AO142" i="1"/>
  <c r="AO192" i="1" s="1"/>
  <c r="K143" i="1"/>
  <c r="K193" i="1" s="1"/>
  <c r="AA143" i="1"/>
  <c r="AA193" i="1" s="1"/>
  <c r="AQ143" i="1"/>
  <c r="AQ193" i="1" s="1"/>
  <c r="N144" i="1"/>
  <c r="N194" i="1" s="1"/>
  <c r="AD144" i="1"/>
  <c r="AD194" i="1" s="1"/>
  <c r="AT144" i="1"/>
  <c r="AT194" i="1" s="1"/>
  <c r="Q145" i="1"/>
  <c r="Q195" i="1" s="1"/>
  <c r="AG145" i="1"/>
  <c r="AG195" i="1" s="1"/>
  <c r="D146" i="1"/>
  <c r="D196" i="1" s="1"/>
  <c r="T146" i="1"/>
  <c r="T196" i="1" s="1"/>
  <c r="AJ146" i="1"/>
  <c r="AJ196" i="1" s="1"/>
  <c r="G147" i="1"/>
  <c r="G197" i="1" s="1"/>
  <c r="W147" i="1"/>
  <c r="W197" i="1" s="1"/>
  <c r="AM147" i="1"/>
  <c r="AM197" i="1" s="1"/>
  <c r="J148" i="1"/>
  <c r="J198" i="1" s="1"/>
  <c r="Z148" i="1"/>
  <c r="Z198" i="1" s="1"/>
  <c r="AP148" i="1"/>
  <c r="AP198" i="1" s="1"/>
  <c r="U149" i="1"/>
  <c r="U199" i="1" s="1"/>
  <c r="H114" i="1"/>
  <c r="H164" i="1" s="1"/>
  <c r="S114" i="1"/>
  <c r="S164" i="1" s="1"/>
  <c r="AC114" i="1"/>
  <c r="AC164" i="1" s="1"/>
  <c r="AN114" i="1"/>
  <c r="AN164" i="1" s="1"/>
  <c r="F115" i="1"/>
  <c r="F165" i="1" s="1"/>
  <c r="P115" i="1"/>
  <c r="P165" i="1" s="1"/>
  <c r="AA115" i="1"/>
  <c r="AA165" i="1" s="1"/>
  <c r="AL115" i="1"/>
  <c r="AL165" i="1" s="1"/>
  <c r="C116" i="1"/>
  <c r="C166" i="1" s="1"/>
  <c r="N116" i="1"/>
  <c r="N166" i="1" s="1"/>
  <c r="Y116" i="1"/>
  <c r="Y166" i="1" s="1"/>
  <c r="AI116" i="1"/>
  <c r="AI166" i="1" s="1"/>
  <c r="AT116" i="1"/>
  <c r="AT166" i="1" s="1"/>
  <c r="L117" i="1"/>
  <c r="L167" i="1" s="1"/>
  <c r="V117" i="1"/>
  <c r="V167" i="1" s="1"/>
  <c r="AG117" i="1"/>
  <c r="AG167" i="1" s="1"/>
  <c r="AR117" i="1"/>
  <c r="AR167" i="1" s="1"/>
  <c r="I118" i="1"/>
  <c r="I168" i="1" s="1"/>
  <c r="T118" i="1"/>
  <c r="T168" i="1" s="1"/>
  <c r="AE118" i="1"/>
  <c r="AE168" i="1" s="1"/>
  <c r="AO118" i="1"/>
  <c r="AO168" i="1" s="1"/>
  <c r="G119" i="1"/>
  <c r="G169" i="1" s="1"/>
  <c r="R119" i="1"/>
  <c r="R169" i="1" s="1"/>
  <c r="AB119" i="1"/>
  <c r="AB169" i="1" s="1"/>
  <c r="AM119" i="1"/>
  <c r="AM169" i="1" s="1"/>
  <c r="E120" i="1"/>
  <c r="E170" i="1" s="1"/>
  <c r="O120" i="1"/>
  <c r="O170" i="1" s="1"/>
  <c r="Z120" i="1"/>
  <c r="Z170" i="1" s="1"/>
  <c r="AK120" i="1"/>
  <c r="AK170" i="1" s="1"/>
  <c r="B121" i="1"/>
  <c r="B171" i="1" s="1"/>
  <c r="M121" i="1"/>
  <c r="M171" i="1" s="1"/>
  <c r="X121" i="1"/>
  <c r="X171" i="1" s="1"/>
  <c r="AH121" i="1"/>
  <c r="AH171" i="1" s="1"/>
  <c r="AS121" i="1"/>
  <c r="AS171" i="1" s="1"/>
  <c r="K122" i="1"/>
  <c r="K172" i="1" s="1"/>
  <c r="U122" i="1"/>
  <c r="U172" i="1" s="1"/>
  <c r="AF122" i="1"/>
  <c r="AF172" i="1" s="1"/>
  <c r="AQ122" i="1"/>
  <c r="AQ172" i="1" s="1"/>
  <c r="H123" i="1"/>
  <c r="H173" i="1" s="1"/>
  <c r="S123" i="1"/>
  <c r="S173" i="1" s="1"/>
  <c r="AD123" i="1"/>
  <c r="AD173" i="1" s="1"/>
  <c r="AN123" i="1"/>
  <c r="AN173" i="1" s="1"/>
  <c r="F124" i="1"/>
  <c r="F174" i="1" s="1"/>
  <c r="Q124" i="1"/>
  <c r="Q174" i="1" s="1"/>
  <c r="AA124" i="1"/>
  <c r="AA174" i="1" s="1"/>
  <c r="AL124" i="1"/>
  <c r="AL174" i="1" s="1"/>
  <c r="D125" i="1"/>
  <c r="D175" i="1" s="1"/>
  <c r="N125" i="1"/>
  <c r="N175" i="1" s="1"/>
  <c r="Y125" i="1"/>
  <c r="Y175" i="1" s="1"/>
  <c r="AJ125" i="1"/>
  <c r="AJ175" i="1" s="1"/>
  <c r="AT125" i="1"/>
  <c r="AT175" i="1" s="1"/>
  <c r="L126" i="1"/>
  <c r="L176" i="1" s="1"/>
  <c r="W126" i="1"/>
  <c r="W176" i="1" s="1"/>
  <c r="AG126" i="1"/>
  <c r="AG176" i="1" s="1"/>
  <c r="AR126" i="1"/>
  <c r="AR176" i="1" s="1"/>
  <c r="J127" i="1"/>
  <c r="J177" i="1" s="1"/>
  <c r="T127" i="1"/>
  <c r="T177" i="1" s="1"/>
  <c r="AE127" i="1"/>
  <c r="AE177" i="1" s="1"/>
  <c r="AP127" i="1"/>
  <c r="AP177" i="1" s="1"/>
  <c r="G128" i="1"/>
  <c r="G178" i="1" s="1"/>
  <c r="R128" i="1"/>
  <c r="R178" i="1" s="1"/>
  <c r="AC128" i="1"/>
  <c r="AC178" i="1" s="1"/>
  <c r="AM128" i="1"/>
  <c r="AM178" i="1" s="1"/>
  <c r="E129" i="1"/>
  <c r="E179" i="1" s="1"/>
  <c r="P129" i="1"/>
  <c r="P179" i="1" s="1"/>
  <c r="Z129" i="1"/>
  <c r="Z179" i="1" s="1"/>
  <c r="AK129" i="1"/>
  <c r="AK179" i="1" s="1"/>
  <c r="C130" i="1"/>
  <c r="C180" i="1" s="1"/>
  <c r="M130" i="1"/>
  <c r="M180" i="1" s="1"/>
  <c r="X130" i="1"/>
  <c r="X180" i="1" s="1"/>
  <c r="AI130" i="1"/>
  <c r="AI180" i="1" s="1"/>
  <c r="AS130" i="1"/>
  <c r="AS180" i="1" s="1"/>
  <c r="K131" i="1"/>
  <c r="K181" i="1" s="1"/>
  <c r="V131" i="1"/>
  <c r="V181" i="1" s="1"/>
  <c r="AF131" i="1"/>
  <c r="AF181" i="1" s="1"/>
  <c r="AQ131" i="1"/>
  <c r="AQ181" i="1" s="1"/>
  <c r="I132" i="1"/>
  <c r="I182" i="1" s="1"/>
  <c r="S132" i="1"/>
  <c r="S182" i="1" s="1"/>
  <c r="AD132" i="1"/>
  <c r="AD182" i="1" s="1"/>
  <c r="AO132" i="1"/>
  <c r="AO182" i="1" s="1"/>
  <c r="F133" i="1"/>
  <c r="F183" i="1" s="1"/>
  <c r="Q133" i="1"/>
  <c r="Q183" i="1" s="1"/>
  <c r="AB133" i="1"/>
  <c r="AB183" i="1" s="1"/>
  <c r="AL133" i="1"/>
  <c r="AL183" i="1" s="1"/>
  <c r="D134" i="1"/>
  <c r="D184" i="1" s="1"/>
  <c r="O134" i="1"/>
  <c r="O184" i="1" s="1"/>
  <c r="Y134" i="1"/>
  <c r="Y184" i="1" s="1"/>
  <c r="AJ134" i="1"/>
  <c r="AJ184" i="1" s="1"/>
  <c r="B135" i="1"/>
  <c r="B185" i="1" s="1"/>
  <c r="L135" i="1"/>
  <c r="L185" i="1" s="1"/>
  <c r="W135" i="1"/>
  <c r="W185" i="1" s="1"/>
  <c r="AH135" i="1"/>
  <c r="AH185" i="1" s="1"/>
  <c r="AR135" i="1"/>
  <c r="AR185" i="1" s="1"/>
  <c r="J136" i="1"/>
  <c r="J186" i="1" s="1"/>
  <c r="U136" i="1"/>
  <c r="U186" i="1" s="1"/>
  <c r="AE136" i="1"/>
  <c r="AE186" i="1" s="1"/>
  <c r="AP136" i="1"/>
  <c r="AP186" i="1" s="1"/>
  <c r="H137" i="1"/>
  <c r="H187" i="1" s="1"/>
  <c r="R137" i="1"/>
  <c r="R187" i="1" s="1"/>
  <c r="AC137" i="1"/>
  <c r="AC187" i="1" s="1"/>
  <c r="AN137" i="1"/>
  <c r="AN187" i="1" s="1"/>
  <c r="E138" i="1"/>
  <c r="E188" i="1" s="1"/>
  <c r="P138" i="1"/>
  <c r="P188" i="1" s="1"/>
  <c r="AA138" i="1"/>
  <c r="AA188" i="1" s="1"/>
  <c r="AK138" i="1"/>
  <c r="AK188" i="1" s="1"/>
  <c r="C139" i="1"/>
  <c r="C189" i="1" s="1"/>
  <c r="N139" i="1"/>
  <c r="N189" i="1" s="1"/>
  <c r="X139" i="1"/>
  <c r="X189" i="1" s="1"/>
  <c r="AI139" i="1"/>
  <c r="AI189" i="1" s="1"/>
  <c r="AT139" i="1"/>
  <c r="AT189" i="1" s="1"/>
  <c r="K140" i="1"/>
  <c r="K190" i="1" s="1"/>
  <c r="V140" i="1"/>
  <c r="V190" i="1" s="1"/>
  <c r="AG140" i="1"/>
  <c r="AG190" i="1" s="1"/>
  <c r="AQ140" i="1"/>
  <c r="AQ190" i="1" s="1"/>
  <c r="I141" i="1"/>
  <c r="I191" i="1" s="1"/>
  <c r="T141" i="1"/>
  <c r="T191" i="1" s="1"/>
  <c r="AD141" i="1"/>
  <c r="AD191" i="1" s="1"/>
  <c r="AO141" i="1"/>
  <c r="AO191" i="1" s="1"/>
  <c r="G142" i="1"/>
  <c r="G192" i="1" s="1"/>
  <c r="Q142" i="1"/>
  <c r="Q192" i="1" s="1"/>
  <c r="AC142" i="1"/>
  <c r="AC192" i="1" s="1"/>
  <c r="AQ142" i="1"/>
  <c r="AQ192" i="1" s="1"/>
  <c r="L143" i="1"/>
  <c r="L193" i="1" s="1"/>
  <c r="AB143" i="1"/>
  <c r="AB193" i="1" s="1"/>
  <c r="AR143" i="1"/>
  <c r="AR193" i="1" s="1"/>
  <c r="O144" i="1"/>
  <c r="O194" i="1" s="1"/>
  <c r="AE144" i="1"/>
  <c r="AE194" i="1" s="1"/>
  <c r="B145" i="1"/>
  <c r="B195" i="1" s="1"/>
  <c r="R145" i="1"/>
  <c r="R195" i="1" s="1"/>
  <c r="AH145" i="1"/>
  <c r="AH195" i="1" s="1"/>
  <c r="E146" i="1"/>
  <c r="E196" i="1" s="1"/>
  <c r="U146" i="1"/>
  <c r="U196" i="1" s="1"/>
  <c r="AK146" i="1"/>
  <c r="AK196" i="1" s="1"/>
  <c r="H147" i="1"/>
  <c r="H197" i="1" s="1"/>
  <c r="X147" i="1"/>
  <c r="X197" i="1" s="1"/>
  <c r="AN147" i="1"/>
  <c r="AN197" i="1" s="1"/>
  <c r="K148" i="1"/>
  <c r="K198" i="1" s="1"/>
  <c r="AA148" i="1"/>
  <c r="AA198" i="1" s="1"/>
  <c r="AQ148" i="1"/>
  <c r="AQ198" i="1" s="1"/>
  <c r="Y149" i="1"/>
  <c r="Y199" i="1" s="1"/>
  <c r="I114" i="1"/>
  <c r="I164" i="1" s="1"/>
  <c r="T114" i="1"/>
  <c r="T164" i="1" s="1"/>
  <c r="AE114" i="1"/>
  <c r="AE164" i="1" s="1"/>
  <c r="AO114" i="1"/>
  <c r="AO164" i="1" s="1"/>
  <c r="G115" i="1"/>
  <c r="G165" i="1" s="1"/>
  <c r="R115" i="1"/>
  <c r="R165" i="1" s="1"/>
  <c r="AB115" i="1"/>
  <c r="AB165" i="1" s="1"/>
  <c r="AM115" i="1"/>
  <c r="AM165" i="1" s="1"/>
  <c r="E116" i="1"/>
  <c r="E166" i="1" s="1"/>
  <c r="O116" i="1"/>
  <c r="O166" i="1" s="1"/>
  <c r="Z116" i="1"/>
  <c r="Z166" i="1" s="1"/>
  <c r="AK116" i="1"/>
  <c r="AK166" i="1" s="1"/>
  <c r="B117" i="1"/>
  <c r="B167" i="1" s="1"/>
  <c r="M117" i="1"/>
  <c r="M167" i="1" s="1"/>
  <c r="X117" i="1"/>
  <c r="X167" i="1" s="1"/>
  <c r="AH117" i="1"/>
  <c r="AH167" i="1" s="1"/>
  <c r="AS117" i="1"/>
  <c r="AS167" i="1" s="1"/>
  <c r="K118" i="1"/>
  <c r="K168" i="1" s="1"/>
  <c r="U118" i="1"/>
  <c r="U168" i="1" s="1"/>
  <c r="AF118" i="1"/>
  <c r="AF168" i="1" s="1"/>
  <c r="AQ118" i="1"/>
  <c r="AQ168" i="1" s="1"/>
  <c r="H119" i="1"/>
  <c r="H169" i="1" s="1"/>
  <c r="S119" i="1"/>
  <c r="S169" i="1" s="1"/>
  <c r="AD119" i="1"/>
  <c r="AD169" i="1" s="1"/>
  <c r="AN119" i="1"/>
  <c r="AN169" i="1" s="1"/>
  <c r="F120" i="1"/>
  <c r="F170" i="1" s="1"/>
  <c r="Q120" i="1"/>
  <c r="Q170" i="1" s="1"/>
  <c r="AA120" i="1"/>
  <c r="AA170" i="1" s="1"/>
  <c r="AL120" i="1"/>
  <c r="AL170" i="1" s="1"/>
  <c r="D121" i="1"/>
  <c r="D171" i="1" s="1"/>
  <c r="N121" i="1"/>
  <c r="N171" i="1" s="1"/>
  <c r="Y121" i="1"/>
  <c r="Y171" i="1" s="1"/>
  <c r="AJ121" i="1"/>
  <c r="AJ171" i="1" s="1"/>
  <c r="AT121" i="1"/>
  <c r="AT171" i="1" s="1"/>
  <c r="L122" i="1"/>
  <c r="L172" i="1" s="1"/>
  <c r="W122" i="1"/>
  <c r="W172" i="1" s="1"/>
  <c r="AG122" i="1"/>
  <c r="AG172" i="1" s="1"/>
  <c r="AR122" i="1"/>
  <c r="AR172" i="1" s="1"/>
  <c r="J123" i="1"/>
  <c r="J173" i="1" s="1"/>
  <c r="T123" i="1"/>
  <c r="T173" i="1" s="1"/>
  <c r="AE123" i="1"/>
  <c r="AE173" i="1" s="1"/>
  <c r="AP123" i="1"/>
  <c r="AP173" i="1" s="1"/>
  <c r="G124" i="1"/>
  <c r="G174" i="1" s="1"/>
  <c r="R124" i="1"/>
  <c r="R174" i="1" s="1"/>
  <c r="AC124" i="1"/>
  <c r="AC174" i="1" s="1"/>
  <c r="AM124" i="1"/>
  <c r="AM174" i="1" s="1"/>
  <c r="E125" i="1"/>
  <c r="E175" i="1" s="1"/>
  <c r="P125" i="1"/>
  <c r="P175" i="1" s="1"/>
  <c r="Z125" i="1"/>
  <c r="Z175" i="1" s="1"/>
  <c r="AK125" i="1"/>
  <c r="AK175" i="1" s="1"/>
  <c r="C126" i="1"/>
  <c r="C176" i="1" s="1"/>
  <c r="M126" i="1"/>
  <c r="M176" i="1" s="1"/>
  <c r="X126" i="1"/>
  <c r="X176" i="1" s="1"/>
  <c r="AI126" i="1"/>
  <c r="AI176" i="1" s="1"/>
  <c r="AS126" i="1"/>
  <c r="AS176" i="1" s="1"/>
  <c r="K127" i="1"/>
  <c r="K177" i="1" s="1"/>
  <c r="V127" i="1"/>
  <c r="V177" i="1" s="1"/>
  <c r="AF127" i="1"/>
  <c r="AF177" i="1" s="1"/>
  <c r="AQ127" i="1"/>
  <c r="AQ177" i="1" s="1"/>
  <c r="I128" i="1"/>
  <c r="I178" i="1" s="1"/>
  <c r="S128" i="1"/>
  <c r="S178" i="1" s="1"/>
  <c r="AD128" i="1"/>
  <c r="AD178" i="1" s="1"/>
  <c r="AO128" i="1"/>
  <c r="AO178" i="1" s="1"/>
  <c r="F129" i="1"/>
  <c r="F179" i="1" s="1"/>
  <c r="Q129" i="1"/>
  <c r="Q179" i="1" s="1"/>
  <c r="AB129" i="1"/>
  <c r="AB179" i="1" s="1"/>
  <c r="AL129" i="1"/>
  <c r="AL179" i="1" s="1"/>
  <c r="D130" i="1"/>
  <c r="D180" i="1" s="1"/>
  <c r="O130" i="1"/>
  <c r="O180" i="1" s="1"/>
  <c r="Y130" i="1"/>
  <c r="Y180" i="1" s="1"/>
  <c r="AJ130" i="1"/>
  <c r="AJ180" i="1" s="1"/>
  <c r="B131" i="1"/>
  <c r="B181" i="1" s="1"/>
  <c r="L131" i="1"/>
  <c r="L181" i="1" s="1"/>
  <c r="W131" i="1"/>
  <c r="W181" i="1" s="1"/>
  <c r="AH131" i="1"/>
  <c r="AH181" i="1" s="1"/>
  <c r="AR131" i="1"/>
  <c r="AR181" i="1" s="1"/>
  <c r="J132" i="1"/>
  <c r="J182" i="1" s="1"/>
  <c r="U132" i="1"/>
  <c r="U182" i="1" s="1"/>
  <c r="AE132" i="1"/>
  <c r="AE182" i="1" s="1"/>
  <c r="AP132" i="1"/>
  <c r="AP182" i="1" s="1"/>
  <c r="H133" i="1"/>
  <c r="H183" i="1" s="1"/>
  <c r="R133" i="1"/>
  <c r="R183" i="1" s="1"/>
  <c r="AC133" i="1"/>
  <c r="AC183" i="1" s="1"/>
  <c r="AN133" i="1"/>
  <c r="AN183" i="1" s="1"/>
  <c r="E134" i="1"/>
  <c r="E184" i="1" s="1"/>
  <c r="P134" i="1"/>
  <c r="P184" i="1" s="1"/>
  <c r="AA134" i="1"/>
  <c r="AA184" i="1" s="1"/>
  <c r="AK134" i="1"/>
  <c r="AK184" i="1" s="1"/>
  <c r="C135" i="1"/>
  <c r="C185" i="1" s="1"/>
  <c r="N135" i="1"/>
  <c r="N185" i="1" s="1"/>
  <c r="X135" i="1"/>
  <c r="X185" i="1" s="1"/>
  <c r="AI135" i="1"/>
  <c r="AI185" i="1" s="1"/>
  <c r="AT135" i="1"/>
  <c r="AT185" i="1" s="1"/>
  <c r="K136" i="1"/>
  <c r="K186" i="1" s="1"/>
  <c r="V136" i="1"/>
  <c r="V186" i="1" s="1"/>
  <c r="AG136" i="1"/>
  <c r="AG186" i="1" s="1"/>
  <c r="AQ136" i="1"/>
  <c r="AQ186" i="1" s="1"/>
  <c r="I137" i="1"/>
  <c r="I187" i="1" s="1"/>
  <c r="T137" i="1"/>
  <c r="T187" i="1" s="1"/>
  <c r="AD137" i="1"/>
  <c r="AD187" i="1" s="1"/>
  <c r="AO137" i="1"/>
  <c r="AO187" i="1" s="1"/>
  <c r="G138" i="1"/>
  <c r="G188" i="1" s="1"/>
  <c r="Q138" i="1"/>
  <c r="Q188" i="1" s="1"/>
  <c r="AB138" i="1"/>
  <c r="AB188" i="1" s="1"/>
  <c r="AM138" i="1"/>
  <c r="AM188" i="1" s="1"/>
  <c r="D139" i="1"/>
  <c r="D189" i="1" s="1"/>
  <c r="O139" i="1"/>
  <c r="O189" i="1" s="1"/>
  <c r="Z139" i="1"/>
  <c r="Z189" i="1" s="1"/>
  <c r="AJ139" i="1"/>
  <c r="AJ189" i="1" s="1"/>
  <c r="B140" i="1"/>
  <c r="B190" i="1" s="1"/>
  <c r="M140" i="1"/>
  <c r="M190" i="1" s="1"/>
  <c r="W140" i="1"/>
  <c r="W190" i="1" s="1"/>
  <c r="AH140" i="1"/>
  <c r="AH190" i="1" s="1"/>
  <c r="AS140" i="1"/>
  <c r="AS190" i="1" s="1"/>
  <c r="J141" i="1"/>
  <c r="J191" i="1" s="1"/>
  <c r="U141" i="1"/>
  <c r="U191" i="1" s="1"/>
  <c r="AF141" i="1"/>
  <c r="AF191" i="1" s="1"/>
  <c r="AP141" i="1"/>
  <c r="AP191" i="1" s="1"/>
  <c r="H142" i="1"/>
  <c r="H192" i="1" s="1"/>
  <c r="S142" i="1"/>
  <c r="S192" i="1" s="1"/>
  <c r="AF142" i="1"/>
  <c r="AF192" i="1" s="1"/>
  <c r="AR142" i="1"/>
  <c r="AR192" i="1" s="1"/>
  <c r="O143" i="1"/>
  <c r="O193" i="1" s="1"/>
  <c r="AE143" i="1"/>
  <c r="AE193" i="1" s="1"/>
  <c r="B144" i="1"/>
  <c r="B194" i="1" s="1"/>
  <c r="R144" i="1"/>
  <c r="R194" i="1" s="1"/>
  <c r="AH144" i="1"/>
  <c r="AH194" i="1" s="1"/>
  <c r="E145" i="1"/>
  <c r="E195" i="1" s="1"/>
  <c r="U145" i="1"/>
  <c r="U195" i="1" s="1"/>
  <c r="AK145" i="1"/>
  <c r="AK195" i="1" s="1"/>
  <c r="H146" i="1"/>
  <c r="H196" i="1" s="1"/>
  <c r="X146" i="1"/>
  <c r="X196" i="1" s="1"/>
  <c r="AN146" i="1"/>
  <c r="AN196" i="1" s="1"/>
  <c r="K147" i="1"/>
  <c r="K197" i="1" s="1"/>
  <c r="AA147" i="1"/>
  <c r="AA197" i="1" s="1"/>
  <c r="AQ147" i="1"/>
  <c r="AQ197" i="1" s="1"/>
  <c r="N148" i="1"/>
  <c r="N198" i="1" s="1"/>
  <c r="AD148" i="1"/>
  <c r="AD198" i="1" s="1"/>
  <c r="AT148" i="1"/>
  <c r="AT198" i="1" s="1"/>
  <c r="AC149" i="1"/>
  <c r="AC199" i="1" s="1"/>
  <c r="K114" i="1"/>
  <c r="K164" i="1" s="1"/>
  <c r="U114" i="1"/>
  <c r="U164" i="1" s="1"/>
  <c r="AF114" i="1"/>
  <c r="AF164" i="1" s="1"/>
  <c r="AQ114" i="1"/>
  <c r="AQ164" i="1" s="1"/>
  <c r="H115" i="1"/>
  <c r="H165" i="1" s="1"/>
  <c r="S115" i="1"/>
  <c r="S165" i="1" s="1"/>
  <c r="AD115" i="1"/>
  <c r="AD165" i="1" s="1"/>
  <c r="AN115" i="1"/>
  <c r="AN165" i="1" s="1"/>
  <c r="F116" i="1"/>
  <c r="F166" i="1" s="1"/>
  <c r="Q116" i="1"/>
  <c r="Q166" i="1" s="1"/>
  <c r="AA116" i="1"/>
  <c r="AA166" i="1" s="1"/>
  <c r="AL116" i="1"/>
  <c r="AL166" i="1" s="1"/>
  <c r="D117" i="1"/>
  <c r="D167" i="1" s="1"/>
  <c r="N117" i="1"/>
  <c r="N167" i="1" s="1"/>
  <c r="Y117" i="1"/>
  <c r="Y167" i="1" s="1"/>
  <c r="AJ117" i="1"/>
  <c r="AJ167" i="1" s="1"/>
  <c r="AT117" i="1"/>
  <c r="AT167" i="1" s="1"/>
  <c r="L118" i="1"/>
  <c r="L168" i="1" s="1"/>
  <c r="W118" i="1"/>
  <c r="W168" i="1" s="1"/>
  <c r="AG118" i="1"/>
  <c r="AG168" i="1" s="1"/>
  <c r="AR118" i="1"/>
  <c r="AR168" i="1" s="1"/>
  <c r="J119" i="1"/>
  <c r="J169" i="1" s="1"/>
  <c r="T119" i="1"/>
  <c r="T169" i="1" s="1"/>
  <c r="AE119" i="1"/>
  <c r="AE169" i="1" s="1"/>
  <c r="AP119" i="1"/>
  <c r="AP169" i="1" s="1"/>
  <c r="G120" i="1"/>
  <c r="G170" i="1" s="1"/>
  <c r="R120" i="1"/>
  <c r="R170" i="1" s="1"/>
  <c r="AC120" i="1"/>
  <c r="AC170" i="1" s="1"/>
  <c r="AM120" i="1"/>
  <c r="AM170" i="1" s="1"/>
  <c r="E121" i="1"/>
  <c r="E171" i="1" s="1"/>
  <c r="P121" i="1"/>
  <c r="P171" i="1" s="1"/>
  <c r="Z121" i="1"/>
  <c r="Z171" i="1" s="1"/>
  <c r="AK121" i="1"/>
  <c r="AK171" i="1" s="1"/>
  <c r="C122" i="1"/>
  <c r="C172" i="1" s="1"/>
  <c r="M122" i="1"/>
  <c r="M172" i="1" s="1"/>
  <c r="X122" i="1"/>
  <c r="X172" i="1" s="1"/>
  <c r="AI122" i="1"/>
  <c r="AI172" i="1" s="1"/>
  <c r="AS122" i="1"/>
  <c r="AS172" i="1" s="1"/>
  <c r="K123" i="1"/>
  <c r="K173" i="1" s="1"/>
  <c r="V123" i="1"/>
  <c r="V173" i="1" s="1"/>
  <c r="AF123" i="1"/>
  <c r="AF173" i="1" s="1"/>
  <c r="AQ123" i="1"/>
  <c r="AQ173" i="1" s="1"/>
  <c r="I124" i="1"/>
  <c r="I174" i="1" s="1"/>
  <c r="S124" i="1"/>
  <c r="S174" i="1" s="1"/>
  <c r="AD124" i="1"/>
  <c r="AD174" i="1" s="1"/>
  <c r="AO124" i="1"/>
  <c r="AO174" i="1" s="1"/>
  <c r="F125" i="1"/>
  <c r="F175" i="1" s="1"/>
  <c r="Q125" i="1"/>
  <c r="Q175" i="1" s="1"/>
  <c r="AB125" i="1"/>
  <c r="AB175" i="1" s="1"/>
  <c r="AL125" i="1"/>
  <c r="AL175" i="1" s="1"/>
  <c r="D126" i="1"/>
  <c r="D176" i="1" s="1"/>
  <c r="O126" i="1"/>
  <c r="O176" i="1" s="1"/>
  <c r="Y126" i="1"/>
  <c r="Y176" i="1" s="1"/>
  <c r="AJ126" i="1"/>
  <c r="AJ176" i="1" s="1"/>
  <c r="B127" i="1"/>
  <c r="B177" i="1" s="1"/>
  <c r="L127" i="1"/>
  <c r="L177" i="1" s="1"/>
  <c r="W127" i="1"/>
  <c r="W177" i="1" s="1"/>
  <c r="AH127" i="1"/>
  <c r="AH177" i="1" s="1"/>
  <c r="AR127" i="1"/>
  <c r="AR177" i="1" s="1"/>
  <c r="J128" i="1"/>
  <c r="J178" i="1" s="1"/>
  <c r="U128" i="1"/>
  <c r="U178" i="1" s="1"/>
  <c r="AE128" i="1"/>
  <c r="AE178" i="1" s="1"/>
  <c r="AP128" i="1"/>
  <c r="AP178" i="1" s="1"/>
  <c r="H129" i="1"/>
  <c r="H179" i="1" s="1"/>
  <c r="R129" i="1"/>
  <c r="R179" i="1" s="1"/>
  <c r="AC129" i="1"/>
  <c r="AC179" i="1" s="1"/>
  <c r="AN129" i="1"/>
  <c r="AN179" i="1" s="1"/>
  <c r="E130" i="1"/>
  <c r="E180" i="1" s="1"/>
  <c r="P130" i="1"/>
  <c r="P180" i="1" s="1"/>
  <c r="AA130" i="1"/>
  <c r="AA180" i="1" s="1"/>
  <c r="AK130" i="1"/>
  <c r="AK180" i="1" s="1"/>
  <c r="C131" i="1"/>
  <c r="C181" i="1" s="1"/>
  <c r="N131" i="1"/>
  <c r="N181" i="1" s="1"/>
  <c r="X131" i="1"/>
  <c r="X181" i="1" s="1"/>
  <c r="AI131" i="1"/>
  <c r="AI181" i="1" s="1"/>
  <c r="AT131" i="1"/>
  <c r="AT181" i="1" s="1"/>
  <c r="K132" i="1"/>
  <c r="K182" i="1" s="1"/>
  <c r="V132" i="1"/>
  <c r="V182" i="1" s="1"/>
  <c r="AG132" i="1"/>
  <c r="AG182" i="1" s="1"/>
  <c r="AQ132" i="1"/>
  <c r="AQ182" i="1" s="1"/>
  <c r="I133" i="1"/>
  <c r="I183" i="1" s="1"/>
  <c r="T133" i="1"/>
  <c r="T183" i="1" s="1"/>
  <c r="AD133" i="1"/>
  <c r="AD183" i="1" s="1"/>
  <c r="AO133" i="1"/>
  <c r="AO183" i="1" s="1"/>
  <c r="G134" i="1"/>
  <c r="G184" i="1" s="1"/>
  <c r="Q134" i="1"/>
  <c r="Q184" i="1" s="1"/>
  <c r="AB134" i="1"/>
  <c r="AB184" i="1" s="1"/>
  <c r="AM134" i="1"/>
  <c r="AM184" i="1" s="1"/>
  <c r="D135" i="1"/>
  <c r="D185" i="1" s="1"/>
  <c r="O135" i="1"/>
  <c r="O185" i="1" s="1"/>
  <c r="Z135" i="1"/>
  <c r="Z185" i="1" s="1"/>
  <c r="AJ135" i="1"/>
  <c r="AJ185" i="1" s="1"/>
  <c r="B136" i="1"/>
  <c r="B186" i="1" s="1"/>
  <c r="M136" i="1"/>
  <c r="M186" i="1" s="1"/>
  <c r="W136" i="1"/>
  <c r="W186" i="1" s="1"/>
  <c r="AH136" i="1"/>
  <c r="AH186" i="1" s="1"/>
  <c r="AS136" i="1"/>
  <c r="AS186" i="1" s="1"/>
  <c r="J137" i="1"/>
  <c r="J187" i="1" s="1"/>
  <c r="U137" i="1"/>
  <c r="U187" i="1" s="1"/>
  <c r="AF137" i="1"/>
  <c r="AF187" i="1" s="1"/>
  <c r="AP137" i="1"/>
  <c r="AP187" i="1" s="1"/>
  <c r="H138" i="1"/>
  <c r="H188" i="1" s="1"/>
  <c r="S138" i="1"/>
  <c r="S188" i="1" s="1"/>
  <c r="AC138" i="1"/>
  <c r="AC188" i="1" s="1"/>
  <c r="AN138" i="1"/>
  <c r="AN188" i="1" s="1"/>
  <c r="F139" i="1"/>
  <c r="F189" i="1" s="1"/>
  <c r="P139" i="1"/>
  <c r="P189" i="1" s="1"/>
  <c r="AA139" i="1"/>
  <c r="AA189" i="1" s="1"/>
  <c r="AL139" i="1"/>
  <c r="AL189" i="1" s="1"/>
  <c r="C140" i="1"/>
  <c r="C190" i="1" s="1"/>
  <c r="N140" i="1"/>
  <c r="N190" i="1" s="1"/>
  <c r="Y140" i="1"/>
  <c r="Y190" i="1" s="1"/>
  <c r="AI140" i="1"/>
  <c r="AI190" i="1" s="1"/>
  <c r="AT140" i="1"/>
  <c r="AT190" i="1" s="1"/>
  <c r="L141" i="1"/>
  <c r="L191" i="1" s="1"/>
  <c r="V141" i="1"/>
  <c r="V191" i="1" s="1"/>
  <c r="AG141" i="1"/>
  <c r="AG191" i="1" s="1"/>
  <c r="AR141" i="1"/>
  <c r="AR191" i="1" s="1"/>
  <c r="I142" i="1"/>
  <c r="I192" i="1" s="1"/>
  <c r="T142" i="1"/>
  <c r="T192" i="1" s="1"/>
  <c r="AG142" i="1"/>
  <c r="AG192" i="1" s="1"/>
  <c r="AS142" i="1"/>
  <c r="AS192" i="1" s="1"/>
  <c r="P143" i="1"/>
  <c r="P193" i="1" s="1"/>
  <c r="AF143" i="1"/>
  <c r="AF193" i="1" s="1"/>
  <c r="C144" i="1"/>
  <c r="C194" i="1" s="1"/>
  <c r="S144" i="1"/>
  <c r="S194" i="1" s="1"/>
  <c r="AI144" i="1"/>
  <c r="AI194" i="1" s="1"/>
  <c r="F145" i="1"/>
  <c r="F195" i="1" s="1"/>
  <c r="V145" i="1"/>
  <c r="V195" i="1" s="1"/>
  <c r="AL145" i="1"/>
  <c r="AL195" i="1" s="1"/>
  <c r="I146" i="1"/>
  <c r="I196" i="1" s="1"/>
  <c r="Y146" i="1"/>
  <c r="Y196" i="1" s="1"/>
  <c r="AO146" i="1"/>
  <c r="AO196" i="1" s="1"/>
  <c r="L147" i="1"/>
  <c r="L197" i="1" s="1"/>
  <c r="AB147" i="1"/>
  <c r="AB197" i="1" s="1"/>
  <c r="AR147" i="1"/>
  <c r="AR197" i="1" s="1"/>
  <c r="O148" i="1"/>
  <c r="O198" i="1" s="1"/>
  <c r="AE148" i="1"/>
  <c r="AE198" i="1" s="1"/>
  <c r="B149" i="1"/>
  <c r="B199" i="1" s="1"/>
  <c r="AN158" i="1"/>
  <c r="AN208" i="1" s="1"/>
  <c r="AF158" i="1"/>
  <c r="AF208" i="1" s="1"/>
  <c r="X158" i="1"/>
  <c r="X208" i="1" s="1"/>
  <c r="P158" i="1"/>
  <c r="P208" i="1" s="1"/>
  <c r="H158" i="1"/>
  <c r="H208" i="1" s="1"/>
  <c r="AM158" i="1"/>
  <c r="AM208" i="1" s="1"/>
  <c r="AE158" i="1"/>
  <c r="AE208" i="1" s="1"/>
  <c r="W158" i="1"/>
  <c r="W208" i="1" s="1"/>
  <c r="O158" i="1"/>
  <c r="O208" i="1" s="1"/>
  <c r="G158" i="1"/>
  <c r="G208" i="1" s="1"/>
  <c r="AO158" i="1"/>
  <c r="AO208" i="1" s="1"/>
  <c r="AC158" i="1"/>
  <c r="AC208" i="1" s="1"/>
  <c r="S158" i="1"/>
  <c r="S208" i="1" s="1"/>
  <c r="I158" i="1"/>
  <c r="I208" i="1" s="1"/>
  <c r="AR157" i="1"/>
  <c r="AR207" i="1" s="1"/>
  <c r="AJ157" i="1"/>
  <c r="AJ207" i="1" s="1"/>
  <c r="AB157" i="1"/>
  <c r="AB207" i="1" s="1"/>
  <c r="T157" i="1"/>
  <c r="T207" i="1" s="1"/>
  <c r="L157" i="1"/>
  <c r="L207" i="1" s="1"/>
  <c r="D157" i="1"/>
  <c r="D207" i="1" s="1"/>
  <c r="AO156" i="1"/>
  <c r="AO206" i="1" s="1"/>
  <c r="AG156" i="1"/>
  <c r="AG206" i="1" s="1"/>
  <c r="Y156" i="1"/>
  <c r="Y206" i="1" s="1"/>
  <c r="Q156" i="1"/>
  <c r="Q206" i="1" s="1"/>
  <c r="I156" i="1"/>
  <c r="I206" i="1" s="1"/>
  <c r="AT155" i="1"/>
  <c r="AT205" i="1" s="1"/>
  <c r="AL155" i="1"/>
  <c r="AL205" i="1" s="1"/>
  <c r="AD155" i="1"/>
  <c r="AD205" i="1" s="1"/>
  <c r="V155" i="1"/>
  <c r="V205" i="1" s="1"/>
  <c r="N155" i="1"/>
  <c r="N205" i="1" s="1"/>
  <c r="F155" i="1"/>
  <c r="F205" i="1" s="1"/>
  <c r="AQ154" i="1"/>
  <c r="AQ204" i="1" s="1"/>
  <c r="AI154" i="1"/>
  <c r="AI204" i="1" s="1"/>
  <c r="AA154" i="1"/>
  <c r="AA204" i="1" s="1"/>
  <c r="S154" i="1"/>
  <c r="S204" i="1" s="1"/>
  <c r="K154" i="1"/>
  <c r="K204" i="1" s="1"/>
  <c r="C154" i="1"/>
  <c r="C204" i="1" s="1"/>
  <c r="AN153" i="1"/>
  <c r="AN203" i="1" s="1"/>
  <c r="AF153" i="1"/>
  <c r="AF203" i="1" s="1"/>
  <c r="X153" i="1"/>
  <c r="X203" i="1" s="1"/>
  <c r="P153" i="1"/>
  <c r="P203" i="1" s="1"/>
  <c r="H153" i="1"/>
  <c r="H203" i="1" s="1"/>
  <c r="AS152" i="1"/>
  <c r="AS202" i="1" s="1"/>
  <c r="AK152" i="1"/>
  <c r="AK202" i="1" s="1"/>
  <c r="AC152" i="1"/>
  <c r="AC202" i="1" s="1"/>
  <c r="U152" i="1"/>
  <c r="U202" i="1" s="1"/>
  <c r="M152" i="1"/>
  <c r="M202" i="1" s="1"/>
  <c r="E152" i="1"/>
  <c r="E202" i="1" s="1"/>
  <c r="AP151" i="1"/>
  <c r="AP201" i="1" s="1"/>
  <c r="AH151" i="1"/>
  <c r="AH201" i="1" s="1"/>
  <c r="Z151" i="1"/>
  <c r="Z201" i="1" s="1"/>
  <c r="R151" i="1"/>
  <c r="R201" i="1" s="1"/>
  <c r="J151" i="1"/>
  <c r="J201" i="1" s="1"/>
  <c r="B151" i="1"/>
  <c r="B201" i="1" s="1"/>
  <c r="AM150" i="1"/>
  <c r="AM200" i="1" s="1"/>
  <c r="AE150" i="1"/>
  <c r="AE200" i="1" s="1"/>
  <c r="AS158" i="1"/>
  <c r="AS208" i="1" s="1"/>
  <c r="AI158" i="1"/>
  <c r="AI208" i="1" s="1"/>
  <c r="Y158" i="1"/>
  <c r="Y208" i="1" s="1"/>
  <c r="M158" i="1"/>
  <c r="M208" i="1" s="1"/>
  <c r="C158" i="1"/>
  <c r="C208" i="1" s="1"/>
  <c r="AN157" i="1"/>
  <c r="AN207" i="1" s="1"/>
  <c r="AF157" i="1"/>
  <c r="AF207" i="1" s="1"/>
  <c r="X157" i="1"/>
  <c r="X207" i="1" s="1"/>
  <c r="P157" i="1"/>
  <c r="P207" i="1" s="1"/>
  <c r="H157" i="1"/>
  <c r="H207" i="1" s="1"/>
  <c r="AS156" i="1"/>
  <c r="AS206" i="1" s="1"/>
  <c r="AK156" i="1"/>
  <c r="AK206" i="1" s="1"/>
  <c r="AC156" i="1"/>
  <c r="AC206" i="1" s="1"/>
  <c r="U156" i="1"/>
  <c r="U206" i="1" s="1"/>
  <c r="M156" i="1"/>
  <c r="M206" i="1" s="1"/>
  <c r="E156" i="1"/>
  <c r="E206" i="1" s="1"/>
  <c r="AP155" i="1"/>
  <c r="AP205" i="1" s="1"/>
  <c r="AH155" i="1"/>
  <c r="AH205" i="1" s="1"/>
  <c r="Z155" i="1"/>
  <c r="Z205" i="1" s="1"/>
  <c r="R155" i="1"/>
  <c r="R205" i="1" s="1"/>
  <c r="J155" i="1"/>
  <c r="J205" i="1" s="1"/>
  <c r="B155" i="1"/>
  <c r="B205" i="1" s="1"/>
  <c r="AM154" i="1"/>
  <c r="AM204" i="1" s="1"/>
  <c r="AE154" i="1"/>
  <c r="AE204" i="1" s="1"/>
  <c r="W154" i="1"/>
  <c r="W204" i="1" s="1"/>
  <c r="O154" i="1"/>
  <c r="O204" i="1" s="1"/>
  <c r="G154" i="1"/>
  <c r="G204" i="1" s="1"/>
  <c r="AR153" i="1"/>
  <c r="AR203" i="1" s="1"/>
  <c r="AJ153" i="1"/>
  <c r="AJ203" i="1" s="1"/>
  <c r="AB153" i="1"/>
  <c r="AB203" i="1" s="1"/>
  <c r="T153" i="1"/>
  <c r="T203" i="1" s="1"/>
  <c r="L153" i="1"/>
  <c r="L203" i="1" s="1"/>
  <c r="D153" i="1"/>
  <c r="D203" i="1" s="1"/>
  <c r="AO152" i="1"/>
  <c r="AO202" i="1" s="1"/>
  <c r="AG152" i="1"/>
  <c r="AG202" i="1" s="1"/>
  <c r="Y152" i="1"/>
  <c r="Y202" i="1" s="1"/>
  <c r="Q152" i="1"/>
  <c r="Q202" i="1" s="1"/>
  <c r="I152" i="1"/>
  <c r="I202" i="1" s="1"/>
  <c r="AT151" i="1"/>
  <c r="AT201" i="1" s="1"/>
  <c r="AL151" i="1"/>
  <c r="AL201" i="1" s="1"/>
  <c r="AD151" i="1"/>
  <c r="AD201" i="1" s="1"/>
  <c r="V151" i="1"/>
  <c r="V201" i="1" s="1"/>
  <c r="N151" i="1"/>
  <c r="N201" i="1" s="1"/>
  <c r="F151" i="1"/>
  <c r="F201" i="1" s="1"/>
  <c r="AQ150" i="1"/>
  <c r="AQ200" i="1" s="1"/>
  <c r="AI150" i="1"/>
  <c r="AI200" i="1" s="1"/>
  <c r="AA150" i="1"/>
  <c r="AA200" i="1" s="1"/>
  <c r="S150" i="1"/>
  <c r="S200" i="1" s="1"/>
  <c r="AR158" i="1"/>
  <c r="AR208" i="1" s="1"/>
  <c r="AD158" i="1"/>
  <c r="AD208" i="1" s="1"/>
  <c r="Q158" i="1"/>
  <c r="Q208" i="1" s="1"/>
  <c r="B158" i="1"/>
  <c r="B208" i="1" s="1"/>
  <c r="AK157" i="1"/>
  <c r="AK207" i="1" s="1"/>
  <c r="Z157" i="1"/>
  <c r="Z207" i="1" s="1"/>
  <c r="O157" i="1"/>
  <c r="O207" i="1" s="1"/>
  <c r="E157" i="1"/>
  <c r="E207" i="1" s="1"/>
  <c r="AM156" i="1"/>
  <c r="AM206" i="1" s="1"/>
  <c r="AB156" i="1"/>
  <c r="AB206" i="1" s="1"/>
  <c r="R156" i="1"/>
  <c r="R206" i="1" s="1"/>
  <c r="G156" i="1"/>
  <c r="G206" i="1" s="1"/>
  <c r="AO155" i="1"/>
  <c r="AO205" i="1" s="1"/>
  <c r="AE155" i="1"/>
  <c r="AE205" i="1" s="1"/>
  <c r="T155" i="1"/>
  <c r="T205" i="1" s="1"/>
  <c r="I155" i="1"/>
  <c r="I205" i="1" s="1"/>
  <c r="AR154" i="1"/>
  <c r="AR204" i="1" s="1"/>
  <c r="AG154" i="1"/>
  <c r="AG204" i="1" s="1"/>
  <c r="V154" i="1"/>
  <c r="V204" i="1" s="1"/>
  <c r="L154" i="1"/>
  <c r="L204" i="1" s="1"/>
  <c r="AT153" i="1"/>
  <c r="AT203" i="1" s="1"/>
  <c r="AI153" i="1"/>
  <c r="AI203" i="1" s="1"/>
  <c r="Y153" i="1"/>
  <c r="Y203" i="1" s="1"/>
  <c r="N153" i="1"/>
  <c r="N203" i="1" s="1"/>
  <c r="C153" i="1"/>
  <c r="C203" i="1" s="1"/>
  <c r="AL152" i="1"/>
  <c r="AL202" i="1" s="1"/>
  <c r="AA152" i="1"/>
  <c r="AA202" i="1" s="1"/>
  <c r="P152" i="1"/>
  <c r="P202" i="1" s="1"/>
  <c r="F152" i="1"/>
  <c r="F202" i="1" s="1"/>
  <c r="AN151" i="1"/>
  <c r="AN201" i="1" s="1"/>
  <c r="AC151" i="1"/>
  <c r="AC201" i="1" s="1"/>
  <c r="S151" i="1"/>
  <c r="S201" i="1" s="1"/>
  <c r="H151" i="1"/>
  <c r="H201" i="1" s="1"/>
  <c r="AP150" i="1"/>
  <c r="AP200" i="1" s="1"/>
  <c r="AF150" i="1"/>
  <c r="AF200" i="1" s="1"/>
  <c r="V150" i="1"/>
  <c r="V200" i="1" s="1"/>
  <c r="M150" i="1"/>
  <c r="M200" i="1" s="1"/>
  <c r="E150" i="1"/>
  <c r="E200" i="1" s="1"/>
  <c r="AP149" i="1"/>
  <c r="AP199" i="1" s="1"/>
  <c r="AH149" i="1"/>
  <c r="AH199" i="1" s="1"/>
  <c r="Z149" i="1"/>
  <c r="Z199" i="1" s="1"/>
  <c r="R149" i="1"/>
  <c r="R199" i="1" s="1"/>
  <c r="J149" i="1"/>
  <c r="J199" i="1" s="1"/>
  <c r="AQ158" i="1"/>
  <c r="AQ208" i="1" s="1"/>
  <c r="AB158" i="1"/>
  <c r="AB208" i="1" s="1"/>
  <c r="N158" i="1"/>
  <c r="N208" i="1" s="1"/>
  <c r="AT157" i="1"/>
  <c r="AT207" i="1" s="1"/>
  <c r="AI157" i="1"/>
  <c r="AI207" i="1" s="1"/>
  <c r="Y157" i="1"/>
  <c r="Y207" i="1" s="1"/>
  <c r="N157" i="1"/>
  <c r="N207" i="1" s="1"/>
  <c r="C157" i="1"/>
  <c r="C207" i="1" s="1"/>
  <c r="AL156" i="1"/>
  <c r="AL206" i="1" s="1"/>
  <c r="AA156" i="1"/>
  <c r="AA206" i="1" s="1"/>
  <c r="P156" i="1"/>
  <c r="P206" i="1" s="1"/>
  <c r="F156" i="1"/>
  <c r="F206" i="1" s="1"/>
  <c r="AN155" i="1"/>
  <c r="AN205" i="1" s="1"/>
  <c r="AC155" i="1"/>
  <c r="AC205" i="1" s="1"/>
  <c r="S155" i="1"/>
  <c r="S205" i="1" s="1"/>
  <c r="H155" i="1"/>
  <c r="H205" i="1" s="1"/>
  <c r="AP154" i="1"/>
  <c r="AP204" i="1" s="1"/>
  <c r="AF154" i="1"/>
  <c r="AF204" i="1" s="1"/>
  <c r="U154" i="1"/>
  <c r="U204" i="1" s="1"/>
  <c r="J154" i="1"/>
  <c r="J204" i="1" s="1"/>
  <c r="AS153" i="1"/>
  <c r="AS203" i="1" s="1"/>
  <c r="AH153" i="1"/>
  <c r="AH203" i="1" s="1"/>
  <c r="W153" i="1"/>
  <c r="W203" i="1" s="1"/>
  <c r="M153" i="1"/>
  <c r="M203" i="1" s="1"/>
  <c r="B153" i="1"/>
  <c r="B203" i="1" s="1"/>
  <c r="AJ152" i="1"/>
  <c r="AJ202" i="1" s="1"/>
  <c r="Z152" i="1"/>
  <c r="Z202" i="1" s="1"/>
  <c r="O152" i="1"/>
  <c r="O202" i="1" s="1"/>
  <c r="D152" i="1"/>
  <c r="D202" i="1" s="1"/>
  <c r="AM151" i="1"/>
  <c r="AM201" i="1" s="1"/>
  <c r="AB151" i="1"/>
  <c r="AB201" i="1" s="1"/>
  <c r="Q151" i="1"/>
  <c r="Q201" i="1" s="1"/>
  <c r="G151" i="1"/>
  <c r="G201" i="1" s="1"/>
  <c r="AO150" i="1"/>
  <c r="AO200" i="1" s="1"/>
  <c r="AD150" i="1"/>
  <c r="AD200" i="1" s="1"/>
  <c r="U150" i="1"/>
  <c r="U200" i="1" s="1"/>
  <c r="L150" i="1"/>
  <c r="L200" i="1" s="1"/>
  <c r="AP158" i="1"/>
  <c r="AP208" i="1" s="1"/>
  <c r="AA158" i="1"/>
  <c r="AA208" i="1" s="1"/>
  <c r="L158" i="1"/>
  <c r="L208" i="1" s="1"/>
  <c r="AS157" i="1"/>
  <c r="AS207" i="1" s="1"/>
  <c r="AH157" i="1"/>
  <c r="AH207" i="1" s="1"/>
  <c r="W157" i="1"/>
  <c r="W207" i="1" s="1"/>
  <c r="M157" i="1"/>
  <c r="M207" i="1" s="1"/>
  <c r="B157" i="1"/>
  <c r="B207" i="1" s="1"/>
  <c r="AJ156" i="1"/>
  <c r="AJ206" i="1" s="1"/>
  <c r="Z156" i="1"/>
  <c r="Z206" i="1" s="1"/>
  <c r="O156" i="1"/>
  <c r="O206" i="1" s="1"/>
  <c r="D156" i="1"/>
  <c r="D206" i="1" s="1"/>
  <c r="AM155" i="1"/>
  <c r="AM205" i="1" s="1"/>
  <c r="AB155" i="1"/>
  <c r="AB205" i="1" s="1"/>
  <c r="Q155" i="1"/>
  <c r="Q205" i="1" s="1"/>
  <c r="G155" i="1"/>
  <c r="G205" i="1" s="1"/>
  <c r="AO154" i="1"/>
  <c r="AO204" i="1" s="1"/>
  <c r="AD154" i="1"/>
  <c r="AD204" i="1" s="1"/>
  <c r="T154" i="1"/>
  <c r="T204" i="1" s="1"/>
  <c r="I154" i="1"/>
  <c r="I204" i="1" s="1"/>
  <c r="AQ153" i="1"/>
  <c r="AQ203" i="1" s="1"/>
  <c r="AG153" i="1"/>
  <c r="AG203" i="1" s="1"/>
  <c r="V153" i="1"/>
  <c r="V203" i="1" s="1"/>
  <c r="K153" i="1"/>
  <c r="K203" i="1" s="1"/>
  <c r="AT152" i="1"/>
  <c r="AT202" i="1" s="1"/>
  <c r="AI152" i="1"/>
  <c r="AI202" i="1" s="1"/>
  <c r="X152" i="1"/>
  <c r="X202" i="1" s="1"/>
  <c r="N152" i="1"/>
  <c r="N202" i="1" s="1"/>
  <c r="C152" i="1"/>
  <c r="C202" i="1" s="1"/>
  <c r="AK151" i="1"/>
  <c r="AK201" i="1" s="1"/>
  <c r="AA151" i="1"/>
  <c r="AA201" i="1" s="1"/>
  <c r="P151" i="1"/>
  <c r="P201" i="1" s="1"/>
  <c r="E151" i="1"/>
  <c r="E201" i="1" s="1"/>
  <c r="AN150" i="1"/>
  <c r="AN200" i="1" s="1"/>
  <c r="AC150" i="1"/>
  <c r="AC200" i="1" s="1"/>
  <c r="T150" i="1"/>
  <c r="T200" i="1" s="1"/>
  <c r="K150" i="1"/>
  <c r="K200" i="1" s="1"/>
  <c r="C150" i="1"/>
  <c r="C200" i="1" s="1"/>
  <c r="AN149" i="1"/>
  <c r="AN199" i="1" s="1"/>
  <c r="AF149" i="1"/>
  <c r="AF199" i="1" s="1"/>
  <c r="X149" i="1"/>
  <c r="X199" i="1" s="1"/>
  <c r="P149" i="1"/>
  <c r="P199" i="1" s="1"/>
  <c r="H149" i="1"/>
  <c r="H199" i="1" s="1"/>
  <c r="AS148" i="1"/>
  <c r="AS198" i="1" s="1"/>
  <c r="AK148" i="1"/>
  <c r="AK198" i="1" s="1"/>
  <c r="AC148" i="1"/>
  <c r="AC198" i="1" s="1"/>
  <c r="U148" i="1"/>
  <c r="U198" i="1" s="1"/>
  <c r="M148" i="1"/>
  <c r="M198" i="1" s="1"/>
  <c r="E148" i="1"/>
  <c r="E198" i="1" s="1"/>
  <c r="AP147" i="1"/>
  <c r="AP197" i="1" s="1"/>
  <c r="AH147" i="1"/>
  <c r="AH197" i="1" s="1"/>
  <c r="Z147" i="1"/>
  <c r="Z197" i="1" s="1"/>
  <c r="R147" i="1"/>
  <c r="R197" i="1" s="1"/>
  <c r="J147" i="1"/>
  <c r="J197" i="1" s="1"/>
  <c r="B147" i="1"/>
  <c r="B197" i="1" s="1"/>
  <c r="AM146" i="1"/>
  <c r="AM196" i="1" s="1"/>
  <c r="AE146" i="1"/>
  <c r="AE196" i="1" s="1"/>
  <c r="W146" i="1"/>
  <c r="W196" i="1" s="1"/>
  <c r="O146" i="1"/>
  <c r="O196" i="1" s="1"/>
  <c r="G146" i="1"/>
  <c r="G196" i="1" s="1"/>
  <c r="AR145" i="1"/>
  <c r="AR195" i="1" s="1"/>
  <c r="AJ145" i="1"/>
  <c r="AJ195" i="1" s="1"/>
  <c r="AB145" i="1"/>
  <c r="AB195" i="1" s="1"/>
  <c r="T145" i="1"/>
  <c r="T195" i="1" s="1"/>
  <c r="L145" i="1"/>
  <c r="L195" i="1" s="1"/>
  <c r="D145" i="1"/>
  <c r="D195" i="1" s="1"/>
  <c r="AO144" i="1"/>
  <c r="AO194" i="1" s="1"/>
  <c r="AG144" i="1"/>
  <c r="AG194" i="1" s="1"/>
  <c r="Y144" i="1"/>
  <c r="Y194" i="1" s="1"/>
  <c r="Q144" i="1"/>
  <c r="Q194" i="1" s="1"/>
  <c r="I144" i="1"/>
  <c r="I194" i="1" s="1"/>
  <c r="AT143" i="1"/>
  <c r="AT193" i="1" s="1"/>
  <c r="AL143" i="1"/>
  <c r="AL193" i="1" s="1"/>
  <c r="AD143" i="1"/>
  <c r="AD193" i="1" s="1"/>
  <c r="V143" i="1"/>
  <c r="V193" i="1" s="1"/>
  <c r="N143" i="1"/>
  <c r="N193" i="1" s="1"/>
  <c r="F143" i="1"/>
  <c r="F193" i="1" s="1"/>
  <c r="AL158" i="1"/>
  <c r="AL208" i="1" s="1"/>
  <c r="Z158" i="1"/>
  <c r="Z208" i="1" s="1"/>
  <c r="K158" i="1"/>
  <c r="K208" i="1" s="1"/>
  <c r="AQ157" i="1"/>
  <c r="AQ207" i="1" s="1"/>
  <c r="AG157" i="1"/>
  <c r="AG207" i="1" s="1"/>
  <c r="V157" i="1"/>
  <c r="V207" i="1" s="1"/>
  <c r="K157" i="1"/>
  <c r="K207" i="1" s="1"/>
  <c r="AT156" i="1"/>
  <c r="AT206" i="1" s="1"/>
  <c r="AI156" i="1"/>
  <c r="AI206" i="1" s="1"/>
  <c r="X156" i="1"/>
  <c r="X206" i="1" s="1"/>
  <c r="N156" i="1"/>
  <c r="N206" i="1" s="1"/>
  <c r="C156" i="1"/>
  <c r="C206" i="1" s="1"/>
  <c r="AK155" i="1"/>
  <c r="AK205" i="1" s="1"/>
  <c r="AA155" i="1"/>
  <c r="AA205" i="1" s="1"/>
  <c r="P155" i="1"/>
  <c r="P205" i="1" s="1"/>
  <c r="E155" i="1"/>
  <c r="E205" i="1" s="1"/>
  <c r="AN154" i="1"/>
  <c r="AN204" i="1" s="1"/>
  <c r="AC154" i="1"/>
  <c r="AC204" i="1" s="1"/>
  <c r="R154" i="1"/>
  <c r="R204" i="1" s="1"/>
  <c r="H154" i="1"/>
  <c r="H204" i="1" s="1"/>
  <c r="AP153" i="1"/>
  <c r="AP203" i="1" s="1"/>
  <c r="AE153" i="1"/>
  <c r="AE203" i="1" s="1"/>
  <c r="U153" i="1"/>
  <c r="U203" i="1" s="1"/>
  <c r="J153" i="1"/>
  <c r="J203" i="1" s="1"/>
  <c r="AR152" i="1"/>
  <c r="AR202" i="1" s="1"/>
  <c r="AH152" i="1"/>
  <c r="AH202" i="1" s="1"/>
  <c r="W152" i="1"/>
  <c r="W202" i="1" s="1"/>
  <c r="L152" i="1"/>
  <c r="L202" i="1" s="1"/>
  <c r="B152" i="1"/>
  <c r="B202" i="1" s="1"/>
  <c r="AJ151" i="1"/>
  <c r="AJ201" i="1" s="1"/>
  <c r="Y151" i="1"/>
  <c r="Y201" i="1" s="1"/>
  <c r="O151" i="1"/>
  <c r="O201" i="1" s="1"/>
  <c r="D151" i="1"/>
  <c r="D201" i="1" s="1"/>
  <c r="AL150" i="1"/>
  <c r="AL200" i="1" s="1"/>
  <c r="AB150" i="1"/>
  <c r="AB200" i="1" s="1"/>
  <c r="R150" i="1"/>
  <c r="R200" i="1" s="1"/>
  <c r="J150" i="1"/>
  <c r="J200" i="1" s="1"/>
  <c r="B150" i="1"/>
  <c r="B200" i="1" s="1"/>
  <c r="AM149" i="1"/>
  <c r="AM199" i="1" s="1"/>
  <c r="AE149" i="1"/>
  <c r="AE199" i="1" s="1"/>
  <c r="W149" i="1"/>
  <c r="W199" i="1" s="1"/>
  <c r="O149" i="1"/>
  <c r="O199" i="1" s="1"/>
  <c r="G149" i="1"/>
  <c r="G199" i="1" s="1"/>
  <c r="AR148" i="1"/>
  <c r="AR198" i="1" s="1"/>
  <c r="AJ148" i="1"/>
  <c r="AJ198" i="1" s="1"/>
  <c r="AB148" i="1"/>
  <c r="AB198" i="1" s="1"/>
  <c r="T148" i="1"/>
  <c r="T198" i="1" s="1"/>
  <c r="L148" i="1"/>
  <c r="L198" i="1" s="1"/>
  <c r="D148" i="1"/>
  <c r="D198" i="1" s="1"/>
  <c r="AO147" i="1"/>
  <c r="AO197" i="1" s="1"/>
  <c r="AG147" i="1"/>
  <c r="AG197" i="1" s="1"/>
  <c r="Y147" i="1"/>
  <c r="Y197" i="1" s="1"/>
  <c r="Q147" i="1"/>
  <c r="Q197" i="1" s="1"/>
  <c r="I147" i="1"/>
  <c r="I197" i="1" s="1"/>
  <c r="AT146" i="1"/>
  <c r="AT196" i="1" s="1"/>
  <c r="AL146" i="1"/>
  <c r="AL196" i="1" s="1"/>
  <c r="AD146" i="1"/>
  <c r="AD196" i="1" s="1"/>
  <c r="V146" i="1"/>
  <c r="V196" i="1" s="1"/>
  <c r="N146" i="1"/>
  <c r="N196" i="1" s="1"/>
  <c r="F146" i="1"/>
  <c r="F196" i="1" s="1"/>
  <c r="AQ145" i="1"/>
  <c r="AQ195" i="1" s="1"/>
  <c r="AI145" i="1"/>
  <c r="AI195" i="1" s="1"/>
  <c r="AA145" i="1"/>
  <c r="AA195" i="1" s="1"/>
  <c r="S145" i="1"/>
  <c r="S195" i="1" s="1"/>
  <c r="K145" i="1"/>
  <c r="K195" i="1" s="1"/>
  <c r="C145" i="1"/>
  <c r="C195" i="1" s="1"/>
  <c r="AN144" i="1"/>
  <c r="AN194" i="1" s="1"/>
  <c r="AF144" i="1"/>
  <c r="AF194" i="1" s="1"/>
  <c r="X144" i="1"/>
  <c r="X194" i="1" s="1"/>
  <c r="P144" i="1"/>
  <c r="P194" i="1" s="1"/>
  <c r="H144" i="1"/>
  <c r="H194" i="1" s="1"/>
  <c r="AS143" i="1"/>
  <c r="AS193" i="1" s="1"/>
  <c r="AK143" i="1"/>
  <c r="AK193" i="1" s="1"/>
  <c r="AC143" i="1"/>
  <c r="AC193" i="1" s="1"/>
  <c r="U143" i="1"/>
  <c r="U193" i="1" s="1"/>
  <c r="M143" i="1"/>
  <c r="M193" i="1" s="1"/>
  <c r="E143" i="1"/>
  <c r="E193" i="1" s="1"/>
  <c r="AP142" i="1"/>
  <c r="AP192" i="1" s="1"/>
  <c r="AH142" i="1"/>
  <c r="AH192" i="1" s="1"/>
  <c r="Z142" i="1"/>
  <c r="Z192" i="1" s="1"/>
  <c r="R142" i="1"/>
  <c r="R192" i="1" s="1"/>
  <c r="J142" i="1"/>
  <c r="J192" i="1" s="1"/>
  <c r="B142" i="1"/>
  <c r="B192" i="1" s="1"/>
  <c r="AM141" i="1"/>
  <c r="AM191" i="1" s="1"/>
  <c r="AE141" i="1"/>
  <c r="AE191" i="1" s="1"/>
  <c r="W141" i="1"/>
  <c r="W191" i="1" s="1"/>
  <c r="O141" i="1"/>
  <c r="O191" i="1" s="1"/>
  <c r="G141" i="1"/>
  <c r="G191" i="1" s="1"/>
  <c r="AR140" i="1"/>
  <c r="AR190" i="1" s="1"/>
  <c r="AJ140" i="1"/>
  <c r="AJ190" i="1" s="1"/>
  <c r="AB140" i="1"/>
  <c r="AB190" i="1" s="1"/>
  <c r="T140" i="1"/>
  <c r="T190" i="1" s="1"/>
  <c r="L140" i="1"/>
  <c r="L190" i="1" s="1"/>
  <c r="D140" i="1"/>
  <c r="D190" i="1" s="1"/>
  <c r="AO139" i="1"/>
  <c r="AO189" i="1" s="1"/>
  <c r="AG139" i="1"/>
  <c r="AG189" i="1" s="1"/>
  <c r="Y139" i="1"/>
  <c r="Y189" i="1" s="1"/>
  <c r="Q139" i="1"/>
  <c r="Q189" i="1" s="1"/>
  <c r="I139" i="1"/>
  <c r="I189" i="1" s="1"/>
  <c r="AT138" i="1"/>
  <c r="AT188" i="1" s="1"/>
  <c r="AL138" i="1"/>
  <c r="AL188" i="1" s="1"/>
  <c r="AD138" i="1"/>
  <c r="AD188" i="1" s="1"/>
  <c r="V138" i="1"/>
  <c r="V188" i="1" s="1"/>
  <c r="N138" i="1"/>
  <c r="N188" i="1" s="1"/>
  <c r="F138" i="1"/>
  <c r="F188" i="1" s="1"/>
  <c r="AQ137" i="1"/>
  <c r="AQ187" i="1" s="1"/>
  <c r="AI137" i="1"/>
  <c r="AI187" i="1" s="1"/>
  <c r="AA137" i="1"/>
  <c r="AA187" i="1" s="1"/>
  <c r="S137" i="1"/>
  <c r="S187" i="1" s="1"/>
  <c r="K137" i="1"/>
  <c r="K187" i="1" s="1"/>
  <c r="C137" i="1"/>
  <c r="C187" i="1" s="1"/>
  <c r="AN136" i="1"/>
  <c r="AN186" i="1" s="1"/>
  <c r="AF136" i="1"/>
  <c r="AF186" i="1" s="1"/>
  <c r="X136" i="1"/>
  <c r="X186" i="1" s="1"/>
  <c r="P136" i="1"/>
  <c r="P186" i="1" s="1"/>
  <c r="H136" i="1"/>
  <c r="H186" i="1" s="1"/>
  <c r="AS135" i="1"/>
  <c r="AS185" i="1" s="1"/>
  <c r="AK135" i="1"/>
  <c r="AK185" i="1" s="1"/>
  <c r="AC135" i="1"/>
  <c r="AC185" i="1" s="1"/>
  <c r="U135" i="1"/>
  <c r="U185" i="1" s="1"/>
  <c r="M135" i="1"/>
  <c r="M185" i="1" s="1"/>
  <c r="E135" i="1"/>
  <c r="E185" i="1" s="1"/>
  <c r="AP134" i="1"/>
  <c r="AP184" i="1" s="1"/>
  <c r="AH134" i="1"/>
  <c r="AH184" i="1" s="1"/>
  <c r="Z134" i="1"/>
  <c r="Z184" i="1" s="1"/>
  <c r="R134" i="1"/>
  <c r="R184" i="1" s="1"/>
  <c r="J134" i="1"/>
  <c r="J184" i="1" s="1"/>
  <c r="B134" i="1"/>
  <c r="B184" i="1" s="1"/>
  <c r="AM133" i="1"/>
  <c r="AM183" i="1" s="1"/>
  <c r="AE133" i="1"/>
  <c r="AE183" i="1" s="1"/>
  <c r="W133" i="1"/>
  <c r="W183" i="1" s="1"/>
  <c r="O133" i="1"/>
  <c r="O183" i="1" s="1"/>
  <c r="G133" i="1"/>
  <c r="G183" i="1" s="1"/>
  <c r="AR132" i="1"/>
  <c r="AR182" i="1" s="1"/>
  <c r="AJ132" i="1"/>
  <c r="AJ182" i="1" s="1"/>
  <c r="AB132" i="1"/>
  <c r="AB182" i="1" s="1"/>
  <c r="T132" i="1"/>
  <c r="T182" i="1" s="1"/>
  <c r="L132" i="1"/>
  <c r="L182" i="1" s="1"/>
  <c r="D132" i="1"/>
  <c r="D182" i="1" s="1"/>
  <c r="AO131" i="1"/>
  <c r="AO181" i="1" s="1"/>
  <c r="AG131" i="1"/>
  <c r="AG181" i="1" s="1"/>
  <c r="Y131" i="1"/>
  <c r="Y181" i="1" s="1"/>
  <c r="Q131" i="1"/>
  <c r="Q181" i="1" s="1"/>
  <c r="I131" i="1"/>
  <c r="I181" i="1" s="1"/>
  <c r="AT130" i="1"/>
  <c r="AT180" i="1" s="1"/>
  <c r="AL130" i="1"/>
  <c r="AL180" i="1" s="1"/>
  <c r="AD130" i="1"/>
  <c r="AD180" i="1" s="1"/>
  <c r="V130" i="1"/>
  <c r="V180" i="1" s="1"/>
  <c r="N130" i="1"/>
  <c r="N180" i="1" s="1"/>
  <c r="F130" i="1"/>
  <c r="F180" i="1" s="1"/>
  <c r="AQ129" i="1"/>
  <c r="AQ179" i="1" s="1"/>
  <c r="AI129" i="1"/>
  <c r="AI179" i="1" s="1"/>
  <c r="AA129" i="1"/>
  <c r="AA179" i="1" s="1"/>
  <c r="S129" i="1"/>
  <c r="S179" i="1" s="1"/>
  <c r="K129" i="1"/>
  <c r="K179" i="1" s="1"/>
  <c r="C129" i="1"/>
  <c r="C179" i="1" s="1"/>
  <c r="AN128" i="1"/>
  <c r="AN178" i="1" s="1"/>
  <c r="AF128" i="1"/>
  <c r="AF178" i="1" s="1"/>
  <c r="X128" i="1"/>
  <c r="X178" i="1" s="1"/>
  <c r="P128" i="1"/>
  <c r="P178" i="1" s="1"/>
  <c r="H128" i="1"/>
  <c r="H178" i="1" s="1"/>
  <c r="AS127" i="1"/>
  <c r="AS177" i="1" s="1"/>
  <c r="AK127" i="1"/>
  <c r="AK177" i="1" s="1"/>
  <c r="AC127" i="1"/>
  <c r="AC177" i="1" s="1"/>
  <c r="U127" i="1"/>
  <c r="U177" i="1" s="1"/>
  <c r="M127" i="1"/>
  <c r="M177" i="1" s="1"/>
  <c r="E127" i="1"/>
  <c r="E177" i="1" s="1"/>
  <c r="AP126" i="1"/>
  <c r="AP176" i="1" s="1"/>
  <c r="AH126" i="1"/>
  <c r="AH176" i="1" s="1"/>
  <c r="Z126" i="1"/>
  <c r="Z176" i="1" s="1"/>
  <c r="R126" i="1"/>
  <c r="R176" i="1" s="1"/>
  <c r="J126" i="1"/>
  <c r="J176" i="1" s="1"/>
  <c r="B126" i="1"/>
  <c r="B176" i="1" s="1"/>
  <c r="AM125" i="1"/>
  <c r="AM175" i="1" s="1"/>
  <c r="AE125" i="1"/>
  <c r="AE175" i="1" s="1"/>
  <c r="W125" i="1"/>
  <c r="W175" i="1" s="1"/>
  <c r="O125" i="1"/>
  <c r="O175" i="1" s="1"/>
  <c r="G125" i="1"/>
  <c r="G175" i="1" s="1"/>
  <c r="AR124" i="1"/>
  <c r="AR174" i="1" s="1"/>
  <c r="AJ124" i="1"/>
  <c r="AJ174" i="1" s="1"/>
  <c r="AB124" i="1"/>
  <c r="AB174" i="1" s="1"/>
  <c r="T124" i="1"/>
  <c r="T174" i="1" s="1"/>
  <c r="L124" i="1"/>
  <c r="L174" i="1" s="1"/>
  <c r="D124" i="1"/>
  <c r="D174" i="1" s="1"/>
  <c r="AO123" i="1"/>
  <c r="AO173" i="1" s="1"/>
  <c r="AG123" i="1"/>
  <c r="AG173" i="1" s="1"/>
  <c r="Y123" i="1"/>
  <c r="Y173" i="1" s="1"/>
  <c r="Q123" i="1"/>
  <c r="Q173" i="1" s="1"/>
  <c r="I123" i="1"/>
  <c r="I173" i="1" s="1"/>
  <c r="AT122" i="1"/>
  <c r="AT172" i="1" s="1"/>
  <c r="AL122" i="1"/>
  <c r="AL172" i="1" s="1"/>
  <c r="AD122" i="1"/>
  <c r="AD172" i="1" s="1"/>
  <c r="V122" i="1"/>
  <c r="V172" i="1" s="1"/>
  <c r="N122" i="1"/>
  <c r="N172" i="1" s="1"/>
  <c r="F122" i="1"/>
  <c r="F172" i="1" s="1"/>
  <c r="AQ121" i="1"/>
  <c r="AQ171" i="1" s="1"/>
  <c r="AI121" i="1"/>
  <c r="AI171" i="1" s="1"/>
  <c r="AA121" i="1"/>
  <c r="AA171" i="1" s="1"/>
  <c r="S121" i="1"/>
  <c r="S171" i="1" s="1"/>
  <c r="K121" i="1"/>
  <c r="K171" i="1" s="1"/>
  <c r="C121" i="1"/>
  <c r="C171" i="1" s="1"/>
  <c r="AN120" i="1"/>
  <c r="AN170" i="1" s="1"/>
  <c r="AF120" i="1"/>
  <c r="AF170" i="1" s="1"/>
  <c r="X120" i="1"/>
  <c r="X170" i="1" s="1"/>
  <c r="P120" i="1"/>
  <c r="P170" i="1" s="1"/>
  <c r="H120" i="1"/>
  <c r="H170" i="1" s="1"/>
  <c r="AS119" i="1"/>
  <c r="AS169" i="1" s="1"/>
  <c r="AK119" i="1"/>
  <c r="AK169" i="1" s="1"/>
  <c r="AC119" i="1"/>
  <c r="AC169" i="1" s="1"/>
  <c r="U119" i="1"/>
  <c r="U169" i="1" s="1"/>
  <c r="M119" i="1"/>
  <c r="M169" i="1" s="1"/>
  <c r="E119" i="1"/>
  <c r="E169" i="1" s="1"/>
  <c r="AP118" i="1"/>
  <c r="AP168" i="1" s="1"/>
  <c r="AH118" i="1"/>
  <c r="AH168" i="1" s="1"/>
  <c r="Z118" i="1"/>
  <c r="Z168" i="1" s="1"/>
  <c r="R118" i="1"/>
  <c r="R168" i="1" s="1"/>
  <c r="J118" i="1"/>
  <c r="J168" i="1" s="1"/>
  <c r="B118" i="1"/>
  <c r="B168" i="1" s="1"/>
  <c r="AM117" i="1"/>
  <c r="AM167" i="1" s="1"/>
  <c r="AE117" i="1"/>
  <c r="AE167" i="1" s="1"/>
  <c r="W117" i="1"/>
  <c r="W167" i="1" s="1"/>
  <c r="O117" i="1"/>
  <c r="O167" i="1" s="1"/>
  <c r="G117" i="1"/>
  <c r="G167" i="1" s="1"/>
  <c r="AR116" i="1"/>
  <c r="AR166" i="1" s="1"/>
  <c r="AJ116" i="1"/>
  <c r="AJ166" i="1" s="1"/>
  <c r="AB116" i="1"/>
  <c r="AB166" i="1" s="1"/>
  <c r="T116" i="1"/>
  <c r="T166" i="1" s="1"/>
  <c r="L116" i="1"/>
  <c r="L166" i="1" s="1"/>
  <c r="D116" i="1"/>
  <c r="D166" i="1" s="1"/>
  <c r="AO115" i="1"/>
  <c r="AO165" i="1" s="1"/>
  <c r="AG115" i="1"/>
  <c r="AG165" i="1" s="1"/>
  <c r="Y115" i="1"/>
  <c r="Y165" i="1" s="1"/>
  <c r="Q115" i="1"/>
  <c r="Q165" i="1" s="1"/>
  <c r="I115" i="1"/>
  <c r="I165" i="1" s="1"/>
  <c r="AT114" i="1"/>
  <c r="AT164" i="1" s="1"/>
  <c r="AL114" i="1"/>
  <c r="AL164" i="1" s="1"/>
  <c r="AD114" i="1"/>
  <c r="AD164" i="1" s="1"/>
  <c r="V114" i="1"/>
  <c r="V164" i="1" s="1"/>
  <c r="N114" i="1"/>
  <c r="N164" i="1" s="1"/>
  <c r="F114" i="1"/>
  <c r="F164" i="1" s="1"/>
  <c r="AK158" i="1"/>
  <c r="AK208" i="1" s="1"/>
  <c r="V158" i="1"/>
  <c r="V208" i="1" s="1"/>
  <c r="J158" i="1"/>
  <c r="J208" i="1" s="1"/>
  <c r="AP157" i="1"/>
  <c r="AP207" i="1" s="1"/>
  <c r="AE157" i="1"/>
  <c r="AE207" i="1" s="1"/>
  <c r="U157" i="1"/>
  <c r="U207" i="1" s="1"/>
  <c r="J157" i="1"/>
  <c r="J207" i="1" s="1"/>
  <c r="AR156" i="1"/>
  <c r="AR206" i="1" s="1"/>
  <c r="AH156" i="1"/>
  <c r="AH206" i="1" s="1"/>
  <c r="W156" i="1"/>
  <c r="W206" i="1" s="1"/>
  <c r="L156" i="1"/>
  <c r="L206" i="1" s="1"/>
  <c r="B156" i="1"/>
  <c r="B206" i="1" s="1"/>
  <c r="AJ155" i="1"/>
  <c r="AJ205" i="1" s="1"/>
  <c r="Y155" i="1"/>
  <c r="Y205" i="1" s="1"/>
  <c r="O155" i="1"/>
  <c r="O205" i="1" s="1"/>
  <c r="D155" i="1"/>
  <c r="D205" i="1" s="1"/>
  <c r="AL154" i="1"/>
  <c r="AL204" i="1" s="1"/>
  <c r="AB154" i="1"/>
  <c r="AB204" i="1" s="1"/>
  <c r="Q154" i="1"/>
  <c r="Q204" i="1" s="1"/>
  <c r="F154" i="1"/>
  <c r="F204" i="1" s="1"/>
  <c r="AO153" i="1"/>
  <c r="AO203" i="1" s="1"/>
  <c r="AD153" i="1"/>
  <c r="AD203" i="1" s="1"/>
  <c r="S153" i="1"/>
  <c r="S203" i="1" s="1"/>
  <c r="I153" i="1"/>
  <c r="I203" i="1" s="1"/>
  <c r="AQ152" i="1"/>
  <c r="AQ202" i="1" s="1"/>
  <c r="AF152" i="1"/>
  <c r="AF202" i="1" s="1"/>
  <c r="V152" i="1"/>
  <c r="V202" i="1" s="1"/>
  <c r="K152" i="1"/>
  <c r="K202" i="1" s="1"/>
  <c r="AS151" i="1"/>
  <c r="AS201" i="1" s="1"/>
  <c r="AI151" i="1"/>
  <c r="AI201" i="1" s="1"/>
  <c r="X151" i="1"/>
  <c r="X201" i="1" s="1"/>
  <c r="M151" i="1"/>
  <c r="M201" i="1" s="1"/>
  <c r="C151" i="1"/>
  <c r="C201" i="1" s="1"/>
  <c r="AK150" i="1"/>
  <c r="AK200" i="1" s="1"/>
  <c r="Z150" i="1"/>
  <c r="Z200" i="1" s="1"/>
  <c r="Q150" i="1"/>
  <c r="Q200" i="1" s="1"/>
  <c r="I150" i="1"/>
  <c r="I200" i="1" s="1"/>
  <c r="AT149" i="1"/>
  <c r="AT199" i="1" s="1"/>
  <c r="AL149" i="1"/>
  <c r="AL199" i="1" s="1"/>
  <c r="AD149" i="1"/>
  <c r="AD199" i="1" s="1"/>
  <c r="V149" i="1"/>
  <c r="V199" i="1" s="1"/>
  <c r="N149" i="1"/>
  <c r="N199" i="1" s="1"/>
  <c r="F149" i="1"/>
  <c r="F199" i="1" s="1"/>
  <c r="AJ158" i="1"/>
  <c r="AJ208" i="1" s="1"/>
  <c r="U158" i="1"/>
  <c r="U208" i="1" s="1"/>
  <c r="F158" i="1"/>
  <c r="F208" i="1" s="1"/>
  <c r="AO157" i="1"/>
  <c r="AO207" i="1" s="1"/>
  <c r="AD157" i="1"/>
  <c r="AD207" i="1" s="1"/>
  <c r="S157" i="1"/>
  <c r="S207" i="1" s="1"/>
  <c r="I157" i="1"/>
  <c r="I207" i="1" s="1"/>
  <c r="AQ156" i="1"/>
  <c r="AQ206" i="1" s="1"/>
  <c r="AF156" i="1"/>
  <c r="AF206" i="1" s="1"/>
  <c r="V156" i="1"/>
  <c r="V206" i="1" s="1"/>
  <c r="K156" i="1"/>
  <c r="K206" i="1" s="1"/>
  <c r="AS155" i="1"/>
  <c r="AS205" i="1" s="1"/>
  <c r="AI155" i="1"/>
  <c r="AI205" i="1" s="1"/>
  <c r="X155" i="1"/>
  <c r="X205" i="1" s="1"/>
  <c r="M155" i="1"/>
  <c r="M205" i="1" s="1"/>
  <c r="C155" i="1"/>
  <c r="C205" i="1" s="1"/>
  <c r="AK154" i="1"/>
  <c r="AK204" i="1" s="1"/>
  <c r="Z154" i="1"/>
  <c r="Z204" i="1" s="1"/>
  <c r="P154" i="1"/>
  <c r="P204" i="1" s="1"/>
  <c r="E154" i="1"/>
  <c r="E204" i="1" s="1"/>
  <c r="AM153" i="1"/>
  <c r="AM203" i="1" s="1"/>
  <c r="AC153" i="1"/>
  <c r="AC203" i="1" s="1"/>
  <c r="R153" i="1"/>
  <c r="R203" i="1" s="1"/>
  <c r="G153" i="1"/>
  <c r="G203" i="1" s="1"/>
  <c r="AP152" i="1"/>
  <c r="AP202" i="1" s="1"/>
  <c r="AE152" i="1"/>
  <c r="AE202" i="1" s="1"/>
  <c r="T152" i="1"/>
  <c r="T202" i="1" s="1"/>
  <c r="J152" i="1"/>
  <c r="J202" i="1" s="1"/>
  <c r="AR151" i="1"/>
  <c r="AR201" i="1" s="1"/>
  <c r="AG151" i="1"/>
  <c r="AG201" i="1" s="1"/>
  <c r="W151" i="1"/>
  <c r="W201" i="1" s="1"/>
  <c r="L151" i="1"/>
  <c r="L201" i="1" s="1"/>
  <c r="AT150" i="1"/>
  <c r="AT200" i="1" s="1"/>
  <c r="AJ150" i="1"/>
  <c r="AJ200" i="1" s="1"/>
  <c r="Y150" i="1"/>
  <c r="Y200" i="1" s="1"/>
  <c r="P150" i="1"/>
  <c r="P200" i="1" s="1"/>
  <c r="H150" i="1"/>
  <c r="H200" i="1" s="1"/>
  <c r="AH158" i="1"/>
  <c r="AH208" i="1" s="1"/>
  <c r="T158" i="1"/>
  <c r="T208" i="1" s="1"/>
  <c r="E158" i="1"/>
  <c r="E208" i="1" s="1"/>
  <c r="AM157" i="1"/>
  <c r="AM207" i="1" s="1"/>
  <c r="AC157" i="1"/>
  <c r="AC207" i="1" s="1"/>
  <c r="R157" i="1"/>
  <c r="R207" i="1" s="1"/>
  <c r="G157" i="1"/>
  <c r="G207" i="1" s="1"/>
  <c r="AP156" i="1"/>
  <c r="AP206" i="1" s="1"/>
  <c r="AE156" i="1"/>
  <c r="AE206" i="1" s="1"/>
  <c r="T156" i="1"/>
  <c r="T206" i="1" s="1"/>
  <c r="J156" i="1"/>
  <c r="J206" i="1" s="1"/>
  <c r="AR155" i="1"/>
  <c r="AR205" i="1" s="1"/>
  <c r="AG155" i="1"/>
  <c r="AG205" i="1" s="1"/>
  <c r="W155" i="1"/>
  <c r="W205" i="1" s="1"/>
  <c r="L155" i="1"/>
  <c r="L205" i="1" s="1"/>
  <c r="AT154" i="1"/>
  <c r="AT204" i="1" s="1"/>
  <c r="AJ154" i="1"/>
  <c r="AJ204" i="1" s="1"/>
  <c r="Y154" i="1"/>
  <c r="Y204" i="1" s="1"/>
  <c r="N154" i="1"/>
  <c r="N204" i="1" s="1"/>
  <c r="D154" i="1"/>
  <c r="D204" i="1" s="1"/>
  <c r="AL153" i="1"/>
  <c r="AL203" i="1" s="1"/>
  <c r="AA153" i="1"/>
  <c r="AA203" i="1" s="1"/>
  <c r="Q153" i="1"/>
  <c r="Q203" i="1" s="1"/>
  <c r="F153" i="1"/>
  <c r="F203" i="1" s="1"/>
  <c r="AN152" i="1"/>
  <c r="AN202" i="1" s="1"/>
  <c r="AD152" i="1"/>
  <c r="AD202" i="1" s="1"/>
  <c r="S152" i="1"/>
  <c r="S202" i="1" s="1"/>
  <c r="H152" i="1"/>
  <c r="H202" i="1" s="1"/>
  <c r="AQ151" i="1"/>
  <c r="AQ201" i="1" s="1"/>
  <c r="AF151" i="1"/>
  <c r="AF201" i="1" s="1"/>
  <c r="U151" i="1"/>
  <c r="U201" i="1" s="1"/>
  <c r="K151" i="1"/>
  <c r="K201" i="1" s="1"/>
  <c r="AS150" i="1"/>
  <c r="AS200" i="1" s="1"/>
  <c r="AH150" i="1"/>
  <c r="AH200" i="1" s="1"/>
  <c r="X150" i="1"/>
  <c r="X200" i="1" s="1"/>
  <c r="O150" i="1"/>
  <c r="O200" i="1" s="1"/>
  <c r="G150" i="1"/>
  <c r="G200" i="1" s="1"/>
  <c r="AR149" i="1"/>
  <c r="AR199" i="1" s="1"/>
  <c r="AJ149" i="1"/>
  <c r="AJ199" i="1" s="1"/>
  <c r="AB149" i="1"/>
  <c r="AB199" i="1" s="1"/>
  <c r="T149" i="1"/>
  <c r="T199" i="1" s="1"/>
  <c r="L149" i="1"/>
  <c r="L199" i="1" s="1"/>
  <c r="D149" i="1"/>
  <c r="D199" i="1" s="1"/>
  <c r="AO148" i="1"/>
  <c r="AO198" i="1" s="1"/>
  <c r="AG148" i="1"/>
  <c r="AG198" i="1" s="1"/>
  <c r="Y148" i="1"/>
  <c r="Y198" i="1" s="1"/>
  <c r="Q148" i="1"/>
  <c r="Q198" i="1" s="1"/>
  <c r="I148" i="1"/>
  <c r="I198" i="1" s="1"/>
  <c r="AT147" i="1"/>
  <c r="AT197" i="1" s="1"/>
  <c r="AL147" i="1"/>
  <c r="AL197" i="1" s="1"/>
  <c r="AD147" i="1"/>
  <c r="AD197" i="1" s="1"/>
  <c r="V147" i="1"/>
  <c r="V197" i="1" s="1"/>
  <c r="N147" i="1"/>
  <c r="N197" i="1" s="1"/>
  <c r="F147" i="1"/>
  <c r="F197" i="1" s="1"/>
  <c r="AQ146" i="1"/>
  <c r="AQ196" i="1" s="1"/>
  <c r="AI146" i="1"/>
  <c r="AI196" i="1" s="1"/>
  <c r="AA146" i="1"/>
  <c r="AA196" i="1" s="1"/>
  <c r="S146" i="1"/>
  <c r="S196" i="1" s="1"/>
  <c r="K146" i="1"/>
  <c r="K196" i="1" s="1"/>
  <c r="C146" i="1"/>
  <c r="C196" i="1" s="1"/>
  <c r="AN145" i="1"/>
  <c r="AN195" i="1" s="1"/>
  <c r="AF145" i="1"/>
  <c r="AF195" i="1" s="1"/>
  <c r="X145" i="1"/>
  <c r="X195" i="1" s="1"/>
  <c r="P145" i="1"/>
  <c r="P195" i="1" s="1"/>
  <c r="H145" i="1"/>
  <c r="H195" i="1" s="1"/>
  <c r="AS144" i="1"/>
  <c r="AS194" i="1" s="1"/>
  <c r="AK144" i="1"/>
  <c r="AK194" i="1" s="1"/>
  <c r="AC144" i="1"/>
  <c r="AC194" i="1" s="1"/>
  <c r="U144" i="1"/>
  <c r="U194" i="1" s="1"/>
  <c r="M144" i="1"/>
  <c r="M194" i="1" s="1"/>
  <c r="E144" i="1"/>
  <c r="E194" i="1" s="1"/>
  <c r="AP143" i="1"/>
  <c r="AP193" i="1" s="1"/>
  <c r="AH143" i="1"/>
  <c r="AH193" i="1" s="1"/>
  <c r="Z143" i="1"/>
  <c r="Z193" i="1" s="1"/>
  <c r="R143" i="1"/>
  <c r="R193" i="1" s="1"/>
  <c r="J143" i="1"/>
  <c r="J193" i="1" s="1"/>
  <c r="B143" i="1"/>
  <c r="B193" i="1" s="1"/>
  <c r="AM142" i="1"/>
  <c r="AM192" i="1" s="1"/>
  <c r="AE142" i="1"/>
  <c r="AE192" i="1" s="1"/>
  <c r="W142" i="1"/>
  <c r="W192" i="1" s="1"/>
  <c r="AT158" i="1"/>
  <c r="AT208" i="1" s="1"/>
  <c r="AG158" i="1"/>
  <c r="AG208" i="1" s="1"/>
  <c r="R158" i="1"/>
  <c r="R208" i="1" s="1"/>
  <c r="D158" i="1"/>
  <c r="D208" i="1" s="1"/>
  <c r="AL157" i="1"/>
  <c r="AL207" i="1" s="1"/>
  <c r="AA157" i="1"/>
  <c r="AA207" i="1" s="1"/>
  <c r="Q157" i="1"/>
  <c r="Q207" i="1" s="1"/>
  <c r="F157" i="1"/>
  <c r="F207" i="1" s="1"/>
  <c r="AN156" i="1"/>
  <c r="AN206" i="1" s="1"/>
  <c r="AD156" i="1"/>
  <c r="AD206" i="1" s="1"/>
  <c r="S156" i="1"/>
  <c r="S206" i="1" s="1"/>
  <c r="H156" i="1"/>
  <c r="H206" i="1" s="1"/>
  <c r="AQ155" i="1"/>
  <c r="AQ205" i="1" s="1"/>
  <c r="AF155" i="1"/>
  <c r="AF205" i="1" s="1"/>
  <c r="U155" i="1"/>
  <c r="U205" i="1" s="1"/>
  <c r="K155" i="1"/>
  <c r="K205" i="1" s="1"/>
  <c r="AS154" i="1"/>
  <c r="AS204" i="1" s="1"/>
  <c r="AH154" i="1"/>
  <c r="AH204" i="1" s="1"/>
  <c r="X154" i="1"/>
  <c r="X204" i="1" s="1"/>
  <c r="M154" i="1"/>
  <c r="M204" i="1" s="1"/>
  <c r="B154" i="1"/>
  <c r="B204" i="1" s="1"/>
  <c r="AK153" i="1"/>
  <c r="AK203" i="1" s="1"/>
  <c r="Z153" i="1"/>
  <c r="Z203" i="1" s="1"/>
  <c r="O153" i="1"/>
  <c r="O203" i="1" s="1"/>
  <c r="E153" i="1"/>
  <c r="E203" i="1" s="1"/>
  <c r="AM152" i="1"/>
  <c r="AM202" i="1" s="1"/>
  <c r="AB152" i="1"/>
  <c r="AB202" i="1" s="1"/>
  <c r="R152" i="1"/>
  <c r="R202" i="1" s="1"/>
  <c r="G152" i="1"/>
  <c r="G202" i="1" s="1"/>
  <c r="AO151" i="1"/>
  <c r="AO201" i="1" s="1"/>
  <c r="AE151" i="1"/>
  <c r="AE201" i="1" s="1"/>
  <c r="T151" i="1"/>
  <c r="T201" i="1" s="1"/>
  <c r="I151" i="1"/>
  <c r="I201" i="1" s="1"/>
  <c r="AR150" i="1"/>
  <c r="AR200" i="1" s="1"/>
  <c r="AG150" i="1"/>
  <c r="AG200" i="1" s="1"/>
  <c r="W150" i="1"/>
  <c r="W200" i="1" s="1"/>
  <c r="N150" i="1"/>
  <c r="N200" i="1" s="1"/>
  <c r="F150" i="1"/>
  <c r="F200" i="1" s="1"/>
  <c r="AQ149" i="1"/>
  <c r="AQ199" i="1" s="1"/>
  <c r="AI149" i="1"/>
  <c r="AI199" i="1" s="1"/>
  <c r="AA149" i="1"/>
  <c r="AA199" i="1" s="1"/>
  <c r="S149" i="1"/>
  <c r="S199" i="1" s="1"/>
  <c r="K149" i="1"/>
  <c r="K199" i="1" s="1"/>
  <c r="C149" i="1"/>
  <c r="C199" i="1" s="1"/>
  <c r="AN148" i="1"/>
  <c r="AN198" i="1" s="1"/>
  <c r="AF148" i="1"/>
  <c r="AF198" i="1" s="1"/>
  <c r="X148" i="1"/>
  <c r="X198" i="1" s="1"/>
  <c r="P148" i="1"/>
  <c r="P198" i="1" s="1"/>
  <c r="H148" i="1"/>
  <c r="H198" i="1" s="1"/>
  <c r="AS147" i="1"/>
  <c r="AS197" i="1" s="1"/>
  <c r="AK147" i="1"/>
  <c r="AK197" i="1" s="1"/>
  <c r="AC147" i="1"/>
  <c r="AC197" i="1" s="1"/>
  <c r="U147" i="1"/>
  <c r="U197" i="1" s="1"/>
  <c r="M147" i="1"/>
  <c r="M197" i="1" s="1"/>
  <c r="E147" i="1"/>
  <c r="E197" i="1" s="1"/>
  <c r="AP146" i="1"/>
  <c r="AP196" i="1" s="1"/>
  <c r="AH146" i="1"/>
  <c r="AH196" i="1" s="1"/>
  <c r="Z146" i="1"/>
  <c r="Z196" i="1" s="1"/>
  <c r="R146" i="1"/>
  <c r="R196" i="1" s="1"/>
  <c r="J146" i="1"/>
  <c r="J196" i="1" s="1"/>
  <c r="B146" i="1"/>
  <c r="B196" i="1" s="1"/>
  <c r="AM145" i="1"/>
  <c r="AM195" i="1" s="1"/>
  <c r="AE145" i="1"/>
  <c r="AE195" i="1" s="1"/>
  <c r="W145" i="1"/>
  <c r="W195" i="1" s="1"/>
  <c r="O145" i="1"/>
  <c r="O195" i="1" s="1"/>
  <c r="G145" i="1"/>
  <c r="G195" i="1" s="1"/>
  <c r="AR144" i="1"/>
  <c r="AR194" i="1" s="1"/>
  <c r="AJ144" i="1"/>
  <c r="AJ194" i="1" s="1"/>
  <c r="AB144" i="1"/>
  <c r="AB194" i="1" s="1"/>
  <c r="T144" i="1"/>
  <c r="T194" i="1" s="1"/>
  <c r="L144" i="1"/>
  <c r="L194" i="1" s="1"/>
  <c r="D144" i="1"/>
  <c r="D194" i="1" s="1"/>
  <c r="AO143" i="1"/>
  <c r="AO193" i="1" s="1"/>
  <c r="AG143" i="1"/>
  <c r="AG193" i="1" s="1"/>
  <c r="Y143" i="1"/>
  <c r="Y193" i="1" s="1"/>
  <c r="Q143" i="1"/>
  <c r="Q193" i="1" s="1"/>
  <c r="I143" i="1"/>
  <c r="I193" i="1" s="1"/>
  <c r="AT142" i="1"/>
  <c r="AT192" i="1" s="1"/>
  <c r="AL142" i="1"/>
  <c r="AL192" i="1" s="1"/>
  <c r="AD142" i="1"/>
  <c r="AD192" i="1" s="1"/>
  <c r="V142" i="1"/>
  <c r="V192" i="1" s="1"/>
  <c r="N142" i="1"/>
  <c r="N192" i="1" s="1"/>
  <c r="F142" i="1"/>
  <c r="F192" i="1" s="1"/>
  <c r="AQ141" i="1"/>
  <c r="AQ191" i="1" s="1"/>
  <c r="AI141" i="1"/>
  <c r="AI191" i="1" s="1"/>
  <c r="AA141" i="1"/>
  <c r="AA191" i="1" s="1"/>
  <c r="S141" i="1"/>
  <c r="S191" i="1" s="1"/>
  <c r="K141" i="1"/>
  <c r="K191" i="1" s="1"/>
  <c r="C141" i="1"/>
  <c r="C191" i="1" s="1"/>
  <c r="AN140" i="1"/>
  <c r="AN190" i="1" s="1"/>
  <c r="AF140" i="1"/>
  <c r="AF190" i="1" s="1"/>
  <c r="X140" i="1"/>
  <c r="X190" i="1" s="1"/>
  <c r="P140" i="1"/>
  <c r="P190" i="1" s="1"/>
  <c r="H140" i="1"/>
  <c r="H190" i="1" s="1"/>
  <c r="AS139" i="1"/>
  <c r="AS189" i="1" s="1"/>
  <c r="AK139" i="1"/>
  <c r="AK189" i="1" s="1"/>
  <c r="AC139" i="1"/>
  <c r="AC189" i="1" s="1"/>
  <c r="U139" i="1"/>
  <c r="U189" i="1" s="1"/>
  <c r="M139" i="1"/>
  <c r="M189" i="1" s="1"/>
  <c r="E139" i="1"/>
  <c r="E189" i="1" s="1"/>
  <c r="AP138" i="1"/>
  <c r="AP188" i="1" s="1"/>
  <c r="AH138" i="1"/>
  <c r="AH188" i="1" s="1"/>
  <c r="Z138" i="1"/>
  <c r="Z188" i="1" s="1"/>
  <c r="R138" i="1"/>
  <c r="R188" i="1" s="1"/>
  <c r="J138" i="1"/>
  <c r="J188" i="1" s="1"/>
  <c r="B138" i="1"/>
  <c r="B188" i="1" s="1"/>
  <c r="AM137" i="1"/>
  <c r="AM187" i="1" s="1"/>
  <c r="AE137" i="1"/>
  <c r="AE187" i="1" s="1"/>
  <c r="W137" i="1"/>
  <c r="W187" i="1" s="1"/>
  <c r="O137" i="1"/>
  <c r="O187" i="1" s="1"/>
  <c r="G137" i="1"/>
  <c r="G187" i="1" s="1"/>
  <c r="AR136" i="1"/>
  <c r="AR186" i="1" s="1"/>
  <c r="AJ136" i="1"/>
  <c r="AJ186" i="1" s="1"/>
  <c r="AB136" i="1"/>
  <c r="AB186" i="1" s="1"/>
  <c r="T136" i="1"/>
  <c r="T186" i="1" s="1"/>
  <c r="L136" i="1"/>
  <c r="L186" i="1" s="1"/>
  <c r="D136" i="1"/>
  <c r="D186" i="1" s="1"/>
  <c r="AO135" i="1"/>
  <c r="AO185" i="1" s="1"/>
  <c r="AG135" i="1"/>
  <c r="AG185" i="1" s="1"/>
  <c r="Y135" i="1"/>
  <c r="Y185" i="1" s="1"/>
  <c r="Q135" i="1"/>
  <c r="Q185" i="1" s="1"/>
  <c r="I135" i="1"/>
  <c r="I185" i="1" s="1"/>
  <c r="AT134" i="1"/>
  <c r="AT184" i="1" s="1"/>
  <c r="AL134" i="1"/>
  <c r="AL184" i="1" s="1"/>
  <c r="AD134" i="1"/>
  <c r="AD184" i="1" s="1"/>
  <c r="V134" i="1"/>
  <c r="V184" i="1" s="1"/>
  <c r="N134" i="1"/>
  <c r="N184" i="1" s="1"/>
  <c r="F134" i="1"/>
  <c r="F184" i="1" s="1"/>
  <c r="AQ133" i="1"/>
  <c r="AQ183" i="1" s="1"/>
  <c r="AI133" i="1"/>
  <c r="AI183" i="1" s="1"/>
  <c r="AA133" i="1"/>
  <c r="AA183" i="1" s="1"/>
  <c r="S133" i="1"/>
  <c r="S183" i="1" s="1"/>
  <c r="K133" i="1"/>
  <c r="K183" i="1" s="1"/>
  <c r="C133" i="1"/>
  <c r="C183" i="1" s="1"/>
  <c r="AN132" i="1"/>
  <c r="AN182" i="1" s="1"/>
  <c r="AF132" i="1"/>
  <c r="AF182" i="1" s="1"/>
  <c r="X132" i="1"/>
  <c r="X182" i="1" s="1"/>
  <c r="P132" i="1"/>
  <c r="P182" i="1" s="1"/>
  <c r="H132" i="1"/>
  <c r="H182" i="1" s="1"/>
  <c r="AS131" i="1"/>
  <c r="AS181" i="1" s="1"/>
  <c r="AK131" i="1"/>
  <c r="AK181" i="1" s="1"/>
  <c r="AC131" i="1"/>
  <c r="AC181" i="1" s="1"/>
  <c r="U131" i="1"/>
  <c r="U181" i="1" s="1"/>
  <c r="M131" i="1"/>
  <c r="M181" i="1" s="1"/>
  <c r="E131" i="1"/>
  <c r="E181" i="1" s="1"/>
  <c r="AP130" i="1"/>
  <c r="AP180" i="1" s="1"/>
  <c r="AH130" i="1"/>
  <c r="AH180" i="1" s="1"/>
  <c r="Z130" i="1"/>
  <c r="Z180" i="1" s="1"/>
  <c r="R130" i="1"/>
  <c r="R180" i="1" s="1"/>
  <c r="J130" i="1"/>
  <c r="J180" i="1" s="1"/>
  <c r="B130" i="1"/>
  <c r="B180" i="1" s="1"/>
  <c r="AM129" i="1"/>
  <c r="AM179" i="1" s="1"/>
  <c r="AE129" i="1"/>
  <c r="AE179" i="1" s="1"/>
  <c r="W129" i="1"/>
  <c r="W179" i="1" s="1"/>
  <c r="O129" i="1"/>
  <c r="O179" i="1" s="1"/>
  <c r="G129" i="1"/>
  <c r="G179" i="1" s="1"/>
  <c r="AR128" i="1"/>
  <c r="AR178" i="1" s="1"/>
  <c r="AJ128" i="1"/>
  <c r="AJ178" i="1" s="1"/>
  <c r="AB128" i="1"/>
  <c r="AB178" i="1" s="1"/>
  <c r="T128" i="1"/>
  <c r="T178" i="1" s="1"/>
  <c r="L128" i="1"/>
  <c r="L178" i="1" s="1"/>
  <c r="D128" i="1"/>
  <c r="D178" i="1" s="1"/>
  <c r="AO127" i="1"/>
  <c r="AO177" i="1" s="1"/>
  <c r="AG127" i="1"/>
  <c r="AG177" i="1" s="1"/>
  <c r="Y127" i="1"/>
  <c r="Y177" i="1" s="1"/>
  <c r="Q127" i="1"/>
  <c r="Q177" i="1" s="1"/>
  <c r="I127" i="1"/>
  <c r="I177" i="1" s="1"/>
  <c r="AT126" i="1"/>
  <c r="AT176" i="1" s="1"/>
  <c r="AL126" i="1"/>
  <c r="AL176" i="1" s="1"/>
  <c r="AD126" i="1"/>
  <c r="AD176" i="1" s="1"/>
  <c r="V126" i="1"/>
  <c r="V176" i="1" s="1"/>
  <c r="N126" i="1"/>
  <c r="N176" i="1" s="1"/>
  <c r="F126" i="1"/>
  <c r="F176" i="1" s="1"/>
  <c r="AQ125" i="1"/>
  <c r="AQ175" i="1" s="1"/>
  <c r="AI125" i="1"/>
  <c r="AI175" i="1" s="1"/>
  <c r="AA125" i="1"/>
  <c r="AA175" i="1" s="1"/>
  <c r="S125" i="1"/>
  <c r="S175" i="1" s="1"/>
  <c r="K125" i="1"/>
  <c r="K175" i="1" s="1"/>
  <c r="C125" i="1"/>
  <c r="C175" i="1" s="1"/>
  <c r="AN124" i="1"/>
  <c r="AN174" i="1" s="1"/>
  <c r="AF124" i="1"/>
  <c r="AF174" i="1" s="1"/>
  <c r="X124" i="1"/>
  <c r="X174" i="1" s="1"/>
  <c r="P124" i="1"/>
  <c r="P174" i="1" s="1"/>
  <c r="H124" i="1"/>
  <c r="H174" i="1" s="1"/>
  <c r="AS123" i="1"/>
  <c r="AS173" i="1" s="1"/>
  <c r="AK123" i="1"/>
  <c r="AK173" i="1" s="1"/>
  <c r="AC123" i="1"/>
  <c r="AC173" i="1" s="1"/>
  <c r="U123" i="1"/>
  <c r="U173" i="1" s="1"/>
  <c r="M123" i="1"/>
  <c r="M173" i="1" s="1"/>
  <c r="E123" i="1"/>
  <c r="E173" i="1" s="1"/>
  <c r="AP122" i="1"/>
  <c r="AP172" i="1" s="1"/>
  <c r="AH122" i="1"/>
  <c r="AH172" i="1" s="1"/>
  <c r="Z122" i="1"/>
  <c r="Z172" i="1" s="1"/>
  <c r="R122" i="1"/>
  <c r="R172" i="1" s="1"/>
  <c r="J122" i="1"/>
  <c r="J172" i="1" s="1"/>
  <c r="B122" i="1"/>
  <c r="B172" i="1" s="1"/>
  <c r="AM121" i="1"/>
  <c r="AM171" i="1" s="1"/>
  <c r="AE121" i="1"/>
  <c r="AE171" i="1" s="1"/>
  <c r="W121" i="1"/>
  <c r="W171" i="1" s="1"/>
  <c r="O121" i="1"/>
  <c r="O171" i="1" s="1"/>
  <c r="G121" i="1"/>
  <c r="G171" i="1" s="1"/>
  <c r="AR120" i="1"/>
  <c r="AR170" i="1" s="1"/>
  <c r="AJ120" i="1"/>
  <c r="AJ170" i="1" s="1"/>
  <c r="AB120" i="1"/>
  <c r="AB170" i="1" s="1"/>
  <c r="T120" i="1"/>
  <c r="T170" i="1" s="1"/>
  <c r="L120" i="1"/>
  <c r="L170" i="1" s="1"/>
  <c r="D120" i="1"/>
  <c r="D170" i="1" s="1"/>
  <c r="AO119" i="1"/>
  <c r="AO169" i="1" s="1"/>
  <c r="AG119" i="1"/>
  <c r="AG169" i="1" s="1"/>
  <c r="Y119" i="1"/>
  <c r="Y169" i="1" s="1"/>
  <c r="Q119" i="1"/>
  <c r="Q169" i="1" s="1"/>
  <c r="I119" i="1"/>
  <c r="I169" i="1" s="1"/>
  <c r="AT118" i="1"/>
  <c r="AT168" i="1" s="1"/>
  <c r="AL118" i="1"/>
  <c r="AL168" i="1" s="1"/>
  <c r="AD118" i="1"/>
  <c r="AD168" i="1" s="1"/>
  <c r="V118" i="1"/>
  <c r="V168" i="1" s="1"/>
  <c r="N118" i="1"/>
  <c r="N168" i="1" s="1"/>
  <c r="F118" i="1"/>
  <c r="F168" i="1" s="1"/>
  <c r="AQ117" i="1"/>
  <c r="AQ167" i="1" s="1"/>
  <c r="AI117" i="1"/>
  <c r="AI167" i="1" s="1"/>
  <c r="AA117" i="1"/>
  <c r="AA167" i="1" s="1"/>
  <c r="S117" i="1"/>
  <c r="S167" i="1" s="1"/>
  <c r="K117" i="1"/>
  <c r="K167" i="1" s="1"/>
  <c r="C117" i="1"/>
  <c r="C167" i="1" s="1"/>
  <c r="AN116" i="1"/>
  <c r="AN166" i="1" s="1"/>
  <c r="AF116" i="1"/>
  <c r="AF166" i="1" s="1"/>
  <c r="X116" i="1"/>
  <c r="X166" i="1" s="1"/>
  <c r="P116" i="1"/>
  <c r="P166" i="1" s="1"/>
  <c r="H116" i="1"/>
  <c r="H166" i="1" s="1"/>
  <c r="AS115" i="1"/>
  <c r="AS165" i="1" s="1"/>
  <c r="AK115" i="1"/>
  <c r="AK165" i="1" s="1"/>
  <c r="AC115" i="1"/>
  <c r="AC165" i="1" s="1"/>
  <c r="U115" i="1"/>
  <c r="U165" i="1" s="1"/>
  <c r="M115" i="1"/>
  <c r="M165" i="1" s="1"/>
  <c r="E115" i="1"/>
  <c r="E165" i="1" s="1"/>
  <c r="AP114" i="1"/>
  <c r="AP164" i="1" s="1"/>
  <c r="AH114" i="1"/>
  <c r="AH164" i="1" s="1"/>
  <c r="Z114" i="1"/>
  <c r="Z164" i="1" s="1"/>
  <c r="R114" i="1"/>
  <c r="R164" i="1" s="1"/>
  <c r="J114" i="1"/>
  <c r="J164" i="1" s="1"/>
  <c r="B114" i="1"/>
  <c r="B164" i="1" s="1"/>
  <c r="L114" i="1"/>
  <c r="L164" i="1" s="1"/>
  <c r="W114" i="1"/>
  <c r="W164" i="1" s="1"/>
  <c r="AG114" i="1"/>
  <c r="AG164" i="1" s="1"/>
  <c r="AR114" i="1"/>
  <c r="AR164" i="1" s="1"/>
  <c r="J115" i="1"/>
  <c r="J165" i="1" s="1"/>
  <c r="T115" i="1"/>
  <c r="T165" i="1" s="1"/>
  <c r="AE115" i="1"/>
  <c r="AE165" i="1" s="1"/>
  <c r="AP115" i="1"/>
  <c r="AP165" i="1" s="1"/>
  <c r="G116" i="1"/>
  <c r="G166" i="1" s="1"/>
  <c r="R116" i="1"/>
  <c r="R166" i="1" s="1"/>
  <c r="AC116" i="1"/>
  <c r="AC166" i="1" s="1"/>
  <c r="AM116" i="1"/>
  <c r="AM166" i="1" s="1"/>
  <c r="E117" i="1"/>
  <c r="E167" i="1" s="1"/>
  <c r="P117" i="1"/>
  <c r="P167" i="1" s="1"/>
  <c r="Z117" i="1"/>
  <c r="Z167" i="1" s="1"/>
  <c r="AK117" i="1"/>
  <c r="AK167" i="1" s="1"/>
  <c r="C118" i="1"/>
  <c r="C168" i="1" s="1"/>
  <c r="M118" i="1"/>
  <c r="M168" i="1" s="1"/>
  <c r="X118" i="1"/>
  <c r="X168" i="1" s="1"/>
  <c r="AI118" i="1"/>
  <c r="AI168" i="1" s="1"/>
  <c r="AS118" i="1"/>
  <c r="AS168" i="1" s="1"/>
  <c r="K119" i="1"/>
  <c r="K169" i="1" s="1"/>
  <c r="V119" i="1"/>
  <c r="V169" i="1" s="1"/>
  <c r="AF119" i="1"/>
  <c r="AF169" i="1" s="1"/>
  <c r="AQ119" i="1"/>
  <c r="AQ169" i="1" s="1"/>
  <c r="I120" i="1"/>
  <c r="I170" i="1" s="1"/>
  <c r="S120" i="1"/>
  <c r="S170" i="1" s="1"/>
  <c r="AD120" i="1"/>
  <c r="AD170" i="1" s="1"/>
  <c r="AO120" i="1"/>
  <c r="AO170" i="1" s="1"/>
  <c r="F121" i="1"/>
  <c r="F171" i="1" s="1"/>
  <c r="Q121" i="1"/>
  <c r="Q171" i="1" s="1"/>
  <c r="AB121" i="1"/>
  <c r="AB171" i="1" s="1"/>
  <c r="AL121" i="1"/>
  <c r="AL171" i="1" s="1"/>
  <c r="D122" i="1"/>
  <c r="D172" i="1" s="1"/>
  <c r="O122" i="1"/>
  <c r="O172" i="1" s="1"/>
  <c r="Y122" i="1"/>
  <c r="Y172" i="1" s="1"/>
  <c r="AJ122" i="1"/>
  <c r="AJ172" i="1" s="1"/>
  <c r="B123" i="1"/>
  <c r="B173" i="1" s="1"/>
  <c r="L123" i="1"/>
  <c r="L173" i="1" s="1"/>
  <c r="W123" i="1"/>
  <c r="W173" i="1" s="1"/>
  <c r="AH123" i="1"/>
  <c r="AH173" i="1" s="1"/>
  <c r="AR123" i="1"/>
  <c r="AR173" i="1" s="1"/>
  <c r="J124" i="1"/>
  <c r="J174" i="1" s="1"/>
  <c r="U124" i="1"/>
  <c r="U174" i="1" s="1"/>
  <c r="AE124" i="1"/>
  <c r="AE174" i="1" s="1"/>
  <c r="AP124" i="1"/>
  <c r="AP174" i="1" s="1"/>
  <c r="H125" i="1"/>
  <c r="H175" i="1" s="1"/>
  <c r="R125" i="1"/>
  <c r="R175" i="1" s="1"/>
  <c r="AC125" i="1"/>
  <c r="AC175" i="1" s="1"/>
  <c r="AN125" i="1"/>
  <c r="AN175" i="1" s="1"/>
  <c r="E126" i="1"/>
  <c r="E176" i="1" s="1"/>
  <c r="P126" i="1"/>
  <c r="P176" i="1" s="1"/>
  <c r="AA126" i="1"/>
  <c r="AA176" i="1" s="1"/>
  <c r="AK126" i="1"/>
  <c r="AK176" i="1" s="1"/>
  <c r="C127" i="1"/>
  <c r="C177" i="1" s="1"/>
  <c r="N127" i="1"/>
  <c r="N177" i="1" s="1"/>
  <c r="X127" i="1"/>
  <c r="X177" i="1" s="1"/>
  <c r="AI127" i="1"/>
  <c r="AI177" i="1" s="1"/>
  <c r="AT127" i="1"/>
  <c r="AT177" i="1" s="1"/>
  <c r="K128" i="1"/>
  <c r="K178" i="1" s="1"/>
  <c r="V128" i="1"/>
  <c r="V178" i="1" s="1"/>
  <c r="AG128" i="1"/>
  <c r="AG178" i="1" s="1"/>
  <c r="AQ128" i="1"/>
  <c r="AQ178" i="1" s="1"/>
  <c r="I129" i="1"/>
  <c r="I179" i="1" s="1"/>
  <c r="T129" i="1"/>
  <c r="T179" i="1" s="1"/>
  <c r="AD129" i="1"/>
  <c r="AD179" i="1" s="1"/>
  <c r="AO129" i="1"/>
  <c r="AO179" i="1" s="1"/>
  <c r="G130" i="1"/>
  <c r="G180" i="1" s="1"/>
  <c r="Q130" i="1"/>
  <c r="Q180" i="1" s="1"/>
  <c r="AB130" i="1"/>
  <c r="AB180" i="1" s="1"/>
  <c r="AM130" i="1"/>
  <c r="AM180" i="1" s="1"/>
  <c r="D131" i="1"/>
  <c r="D181" i="1" s="1"/>
  <c r="O131" i="1"/>
  <c r="O181" i="1" s="1"/>
  <c r="Z131" i="1"/>
  <c r="Z181" i="1" s="1"/>
  <c r="AJ131" i="1"/>
  <c r="AJ181" i="1" s="1"/>
  <c r="B132" i="1"/>
  <c r="B182" i="1" s="1"/>
  <c r="M132" i="1"/>
  <c r="M182" i="1" s="1"/>
  <c r="W132" i="1"/>
  <c r="W182" i="1" s="1"/>
  <c r="AH132" i="1"/>
  <c r="AH182" i="1" s="1"/>
  <c r="AS132" i="1"/>
  <c r="AS182" i="1" s="1"/>
  <c r="J133" i="1"/>
  <c r="J183" i="1" s="1"/>
  <c r="U133" i="1"/>
  <c r="U183" i="1" s="1"/>
  <c r="AF133" i="1"/>
  <c r="AF183" i="1" s="1"/>
  <c r="AP133" i="1"/>
  <c r="AP183" i="1" s="1"/>
  <c r="H134" i="1"/>
  <c r="H184" i="1" s="1"/>
  <c r="S134" i="1"/>
  <c r="S184" i="1" s="1"/>
  <c r="AC134" i="1"/>
  <c r="AC184" i="1" s="1"/>
  <c r="AN134" i="1"/>
  <c r="AN184" i="1" s="1"/>
  <c r="F135" i="1"/>
  <c r="F185" i="1" s="1"/>
  <c r="P135" i="1"/>
  <c r="P185" i="1" s="1"/>
  <c r="AA135" i="1"/>
  <c r="AA185" i="1" s="1"/>
  <c r="AL135" i="1"/>
  <c r="AL185" i="1" s="1"/>
  <c r="C136" i="1"/>
  <c r="C186" i="1" s="1"/>
  <c r="N136" i="1"/>
  <c r="N186" i="1" s="1"/>
  <c r="Y136" i="1"/>
  <c r="Y186" i="1" s="1"/>
  <c r="AI136" i="1"/>
  <c r="AI186" i="1" s="1"/>
  <c r="AT136" i="1"/>
  <c r="AT186" i="1" s="1"/>
  <c r="L137" i="1"/>
  <c r="L187" i="1" s="1"/>
  <c r="V137" i="1"/>
  <c r="V187" i="1" s="1"/>
  <c r="AG137" i="1"/>
  <c r="AG187" i="1" s="1"/>
  <c r="AR137" i="1"/>
  <c r="AR187" i="1" s="1"/>
  <c r="I138" i="1"/>
  <c r="I188" i="1" s="1"/>
  <c r="T138" i="1"/>
  <c r="T188" i="1" s="1"/>
  <c r="AE138" i="1"/>
  <c r="AE188" i="1" s="1"/>
  <c r="AO138" i="1"/>
  <c r="AO188" i="1" s="1"/>
  <c r="G139" i="1"/>
  <c r="G189" i="1" s="1"/>
  <c r="R139" i="1"/>
  <c r="R189" i="1" s="1"/>
  <c r="AB139" i="1"/>
  <c r="AB189" i="1" s="1"/>
  <c r="AM139" i="1"/>
  <c r="AM189" i="1" s="1"/>
  <c r="E140" i="1"/>
  <c r="E190" i="1" s="1"/>
  <c r="O140" i="1"/>
  <c r="O190" i="1" s="1"/>
  <c r="Z140" i="1"/>
  <c r="Z190" i="1" s="1"/>
  <c r="AK140" i="1"/>
  <c r="AK190" i="1" s="1"/>
  <c r="B141" i="1"/>
  <c r="B191" i="1" s="1"/>
  <c r="M141" i="1"/>
  <c r="M191" i="1" s="1"/>
  <c r="X141" i="1"/>
  <c r="X191" i="1" s="1"/>
  <c r="AH141" i="1"/>
  <c r="AH191" i="1" s="1"/>
  <c r="AS141" i="1"/>
  <c r="AS191" i="1" s="1"/>
  <c r="K142" i="1"/>
  <c r="K192" i="1" s="1"/>
  <c r="U142" i="1"/>
  <c r="U192" i="1" s="1"/>
  <c r="AI142" i="1"/>
  <c r="AI192" i="1" s="1"/>
  <c r="C143" i="1"/>
  <c r="C193" i="1" s="1"/>
  <c r="S143" i="1"/>
  <c r="S193" i="1" s="1"/>
  <c r="AI143" i="1"/>
  <c r="AI193" i="1" s="1"/>
  <c r="F144" i="1"/>
  <c r="F194" i="1" s="1"/>
  <c r="V144" i="1"/>
  <c r="V194" i="1" s="1"/>
  <c r="AL144" i="1"/>
  <c r="AL194" i="1" s="1"/>
  <c r="I145" i="1"/>
  <c r="I195" i="1" s="1"/>
  <c r="Y145" i="1"/>
  <c r="Y195" i="1" s="1"/>
  <c r="AO145" i="1"/>
  <c r="AO195" i="1" s="1"/>
  <c r="L146" i="1"/>
  <c r="L196" i="1" s="1"/>
  <c r="AB146" i="1"/>
  <c r="AB196" i="1" s="1"/>
  <c r="AR146" i="1"/>
  <c r="AR196" i="1" s="1"/>
  <c r="O147" i="1"/>
  <c r="O197" i="1" s="1"/>
  <c r="AE147" i="1"/>
  <c r="AE197" i="1" s="1"/>
  <c r="B148" i="1"/>
  <c r="B198" i="1" s="1"/>
  <c r="R148" i="1"/>
  <c r="R198" i="1" s="1"/>
  <c r="AH148" i="1"/>
  <c r="AH198" i="1" s="1"/>
  <c r="E149" i="1"/>
  <c r="E199" i="1" s="1"/>
  <c r="AK149" i="1"/>
  <c r="AK199" i="1" s="1"/>
  <c r="C114" i="1"/>
  <c r="C164" i="1" s="1"/>
  <c r="M114" i="1"/>
  <c r="M164" i="1" s="1"/>
  <c r="X114" i="1"/>
  <c r="X164" i="1" s="1"/>
  <c r="AI114" i="1"/>
  <c r="AI164" i="1" s="1"/>
  <c r="AS114" i="1"/>
  <c r="AS164" i="1" s="1"/>
  <c r="K115" i="1"/>
  <c r="K165" i="1" s="1"/>
  <c r="V115" i="1"/>
  <c r="V165" i="1" s="1"/>
  <c r="AF115" i="1"/>
  <c r="AF165" i="1" s="1"/>
  <c r="AQ115" i="1"/>
  <c r="AQ165" i="1" s="1"/>
  <c r="I116" i="1"/>
  <c r="I166" i="1" s="1"/>
  <c r="S116" i="1"/>
  <c r="S166" i="1" s="1"/>
  <c r="AD116" i="1"/>
  <c r="AD166" i="1" s="1"/>
  <c r="AO116" i="1"/>
  <c r="AO166" i="1" s="1"/>
  <c r="F117" i="1"/>
  <c r="F167" i="1" s="1"/>
  <c r="Q117" i="1"/>
  <c r="Q167" i="1" s="1"/>
  <c r="AB117" i="1"/>
  <c r="AB167" i="1" s="1"/>
  <c r="AL117" i="1"/>
  <c r="AL167" i="1" s="1"/>
  <c r="D118" i="1"/>
  <c r="D168" i="1" s="1"/>
  <c r="O118" i="1"/>
  <c r="O168" i="1" s="1"/>
  <c r="Y118" i="1"/>
  <c r="Y168" i="1" s="1"/>
  <c r="AJ118" i="1"/>
  <c r="AJ168" i="1" s="1"/>
  <c r="B119" i="1"/>
  <c r="B169" i="1" s="1"/>
  <c r="L119" i="1"/>
  <c r="L169" i="1" s="1"/>
  <c r="W119" i="1"/>
  <c r="W169" i="1" s="1"/>
  <c r="AH119" i="1"/>
  <c r="AH169" i="1" s="1"/>
  <c r="AR119" i="1"/>
  <c r="AR169" i="1" s="1"/>
  <c r="J120" i="1"/>
  <c r="J170" i="1" s="1"/>
  <c r="U120" i="1"/>
  <c r="U170" i="1" s="1"/>
  <c r="AE120" i="1"/>
  <c r="AE170" i="1" s="1"/>
  <c r="AP120" i="1"/>
  <c r="AP170" i="1" s="1"/>
  <c r="H121" i="1"/>
  <c r="H171" i="1" s="1"/>
  <c r="R121" i="1"/>
  <c r="R171" i="1" s="1"/>
  <c r="AC121" i="1"/>
  <c r="AC171" i="1" s="1"/>
  <c r="AN121" i="1"/>
  <c r="AN171" i="1" s="1"/>
  <c r="E122" i="1"/>
  <c r="E172" i="1" s="1"/>
  <c r="P122" i="1"/>
  <c r="P172" i="1" s="1"/>
  <c r="AA122" i="1"/>
  <c r="AA172" i="1" s="1"/>
  <c r="AK122" i="1"/>
  <c r="AK172" i="1" s="1"/>
  <c r="C123" i="1"/>
  <c r="C173" i="1" s="1"/>
  <c r="N123" i="1"/>
  <c r="N173" i="1" s="1"/>
  <c r="X123" i="1"/>
  <c r="X173" i="1" s="1"/>
  <c r="AI123" i="1"/>
  <c r="AI173" i="1" s="1"/>
  <c r="AT123" i="1"/>
  <c r="AT173" i="1" s="1"/>
  <c r="K124" i="1"/>
  <c r="K174" i="1" s="1"/>
  <c r="V124" i="1"/>
  <c r="V174" i="1" s="1"/>
  <c r="AG124" i="1"/>
  <c r="AG174" i="1" s="1"/>
  <c r="AQ124" i="1"/>
  <c r="AQ174" i="1" s="1"/>
  <c r="I125" i="1"/>
  <c r="I175" i="1" s="1"/>
  <c r="T125" i="1"/>
  <c r="T175" i="1" s="1"/>
  <c r="AD125" i="1"/>
  <c r="AD175" i="1" s="1"/>
  <c r="AO125" i="1"/>
  <c r="AO175" i="1" s="1"/>
  <c r="G126" i="1"/>
  <c r="G176" i="1" s="1"/>
  <c r="Q126" i="1"/>
  <c r="Q176" i="1" s="1"/>
  <c r="AB126" i="1"/>
  <c r="AB176" i="1" s="1"/>
  <c r="AM126" i="1"/>
  <c r="AM176" i="1" s="1"/>
  <c r="D127" i="1"/>
  <c r="D177" i="1" s="1"/>
  <c r="O127" i="1"/>
  <c r="O177" i="1" s="1"/>
  <c r="Z127" i="1"/>
  <c r="Z177" i="1" s="1"/>
  <c r="AJ127" i="1"/>
  <c r="AJ177" i="1" s="1"/>
  <c r="B128" i="1"/>
  <c r="B178" i="1" s="1"/>
  <c r="M128" i="1"/>
  <c r="M178" i="1" s="1"/>
  <c r="W128" i="1"/>
  <c r="W178" i="1" s="1"/>
  <c r="AH128" i="1"/>
  <c r="AH178" i="1" s="1"/>
  <c r="AS128" i="1"/>
  <c r="AS178" i="1" s="1"/>
  <c r="J129" i="1"/>
  <c r="J179" i="1" s="1"/>
  <c r="U129" i="1"/>
  <c r="U179" i="1" s="1"/>
  <c r="AF129" i="1"/>
  <c r="AF179" i="1" s="1"/>
  <c r="AP129" i="1"/>
  <c r="AP179" i="1" s="1"/>
  <c r="H130" i="1"/>
  <c r="H180" i="1" s="1"/>
  <c r="S130" i="1"/>
  <c r="S180" i="1" s="1"/>
  <c r="AC130" i="1"/>
  <c r="AC180" i="1" s="1"/>
  <c r="AN130" i="1"/>
  <c r="AN180" i="1" s="1"/>
  <c r="F131" i="1"/>
  <c r="F181" i="1" s="1"/>
  <c r="P131" i="1"/>
  <c r="P181" i="1" s="1"/>
  <c r="AA131" i="1"/>
  <c r="AA181" i="1" s="1"/>
  <c r="AL131" i="1"/>
  <c r="AL181" i="1" s="1"/>
  <c r="C132" i="1"/>
  <c r="C182" i="1" s="1"/>
  <c r="N132" i="1"/>
  <c r="N182" i="1" s="1"/>
  <c r="Y132" i="1"/>
  <c r="Y182" i="1" s="1"/>
  <c r="AI132" i="1"/>
  <c r="AI182" i="1" s="1"/>
  <c r="AT132" i="1"/>
  <c r="AT182" i="1" s="1"/>
  <c r="L133" i="1"/>
  <c r="L183" i="1" s="1"/>
  <c r="V133" i="1"/>
  <c r="V183" i="1" s="1"/>
  <c r="AG133" i="1"/>
  <c r="AG183" i="1" s="1"/>
  <c r="AR133" i="1"/>
  <c r="AR183" i="1" s="1"/>
  <c r="I134" i="1"/>
  <c r="I184" i="1" s="1"/>
  <c r="T134" i="1"/>
  <c r="T184" i="1" s="1"/>
  <c r="AE134" i="1"/>
  <c r="AE184" i="1" s="1"/>
  <c r="AO134" i="1"/>
  <c r="AO184" i="1" s="1"/>
  <c r="G135" i="1"/>
  <c r="G185" i="1" s="1"/>
  <c r="R135" i="1"/>
  <c r="R185" i="1" s="1"/>
  <c r="AB135" i="1"/>
  <c r="AB185" i="1" s="1"/>
  <c r="AM135" i="1"/>
  <c r="AM185" i="1" s="1"/>
  <c r="E136" i="1"/>
  <c r="E186" i="1" s="1"/>
  <c r="O136" i="1"/>
  <c r="O186" i="1" s="1"/>
  <c r="Z136" i="1"/>
  <c r="Z186" i="1" s="1"/>
  <c r="AK136" i="1"/>
  <c r="AK186" i="1" s="1"/>
  <c r="B137" i="1"/>
  <c r="B187" i="1" s="1"/>
  <c r="M137" i="1"/>
  <c r="M187" i="1" s="1"/>
  <c r="X137" i="1"/>
  <c r="X187" i="1" s="1"/>
  <c r="AH137" i="1"/>
  <c r="AH187" i="1" s="1"/>
  <c r="AS137" i="1"/>
  <c r="AS187" i="1" s="1"/>
  <c r="K138" i="1"/>
  <c r="K188" i="1" s="1"/>
  <c r="U138" i="1"/>
  <c r="U188" i="1" s="1"/>
  <c r="AF138" i="1"/>
  <c r="AF188" i="1" s="1"/>
  <c r="AQ138" i="1"/>
  <c r="AQ188" i="1" s="1"/>
  <c r="H139" i="1"/>
  <c r="H189" i="1" s="1"/>
  <c r="S139" i="1"/>
  <c r="S189" i="1" s="1"/>
  <c r="AD139" i="1"/>
  <c r="AD189" i="1" s="1"/>
  <c r="AN139" i="1"/>
  <c r="AN189" i="1" s="1"/>
  <c r="F140" i="1"/>
  <c r="F190" i="1" s="1"/>
  <c r="Q140" i="1"/>
  <c r="Q190" i="1" s="1"/>
  <c r="AA140" i="1"/>
  <c r="AA190" i="1" s="1"/>
  <c r="AL140" i="1"/>
  <c r="AL190" i="1" s="1"/>
  <c r="D141" i="1"/>
  <c r="D191" i="1" s="1"/>
  <c r="N141" i="1"/>
  <c r="N191" i="1" s="1"/>
  <c r="Y141" i="1"/>
  <c r="Y191" i="1" s="1"/>
  <c r="AJ141" i="1"/>
  <c r="AJ191" i="1" s="1"/>
  <c r="AT141" i="1"/>
  <c r="AT191" i="1" s="1"/>
  <c r="L142" i="1"/>
  <c r="L192" i="1" s="1"/>
  <c r="X142" i="1"/>
  <c r="X192" i="1" s="1"/>
  <c r="AJ142" i="1"/>
  <c r="AJ192" i="1" s="1"/>
  <c r="D143" i="1"/>
  <c r="D193" i="1" s="1"/>
  <c r="T143" i="1"/>
  <c r="T193" i="1" s="1"/>
  <c r="AJ143" i="1"/>
  <c r="AJ193" i="1" s="1"/>
  <c r="G144" i="1"/>
  <c r="G194" i="1" s="1"/>
  <c r="W144" i="1"/>
  <c r="W194" i="1" s="1"/>
  <c r="AM144" i="1"/>
  <c r="AM194" i="1" s="1"/>
  <c r="J145" i="1"/>
  <c r="J195" i="1" s="1"/>
  <c r="Z145" i="1"/>
  <c r="Z195" i="1" s="1"/>
  <c r="AP145" i="1"/>
  <c r="AP195" i="1" s="1"/>
  <c r="M146" i="1"/>
  <c r="M196" i="1" s="1"/>
  <c r="AC146" i="1"/>
  <c r="AC196" i="1" s="1"/>
  <c r="AS146" i="1"/>
  <c r="AS196" i="1" s="1"/>
  <c r="P147" i="1"/>
  <c r="P197" i="1" s="1"/>
  <c r="AF147" i="1"/>
  <c r="AF197" i="1" s="1"/>
  <c r="C148" i="1"/>
  <c r="C198" i="1" s="1"/>
  <c r="S148" i="1"/>
  <c r="S198" i="1" s="1"/>
  <c r="AI148" i="1"/>
  <c r="AI198" i="1" s="1"/>
  <c r="I149" i="1"/>
  <c r="I199" i="1" s="1"/>
  <c r="AO149" i="1"/>
  <c r="AO199" i="1" s="1"/>
  <c r="D114" i="1"/>
  <c r="D164" i="1" s="1"/>
  <c r="O114" i="1"/>
  <c r="O164" i="1" s="1"/>
  <c r="Y114" i="1"/>
  <c r="Y164" i="1" s="1"/>
  <c r="AJ114" i="1"/>
  <c r="AJ164" i="1" s="1"/>
  <c r="B115" i="1"/>
  <c r="B165" i="1" s="1"/>
  <c r="L115" i="1"/>
  <c r="L165" i="1" s="1"/>
  <c r="W115" i="1"/>
  <c r="W165" i="1" s="1"/>
  <c r="AH115" i="1"/>
  <c r="AH165" i="1" s="1"/>
  <c r="AR115" i="1"/>
  <c r="AR165" i="1" s="1"/>
  <c r="J116" i="1"/>
  <c r="J166" i="1" s="1"/>
  <c r="U116" i="1"/>
  <c r="U166" i="1" s="1"/>
  <c r="AE116" i="1"/>
  <c r="AE166" i="1" s="1"/>
  <c r="AP116" i="1"/>
  <c r="AP166" i="1" s="1"/>
  <c r="H117" i="1"/>
  <c r="H167" i="1" s="1"/>
  <c r="R117" i="1"/>
  <c r="R167" i="1" s="1"/>
  <c r="AC117" i="1"/>
  <c r="AC167" i="1" s="1"/>
  <c r="AN117" i="1"/>
  <c r="AN167" i="1" s="1"/>
  <c r="E118" i="1"/>
  <c r="E168" i="1" s="1"/>
  <c r="P118" i="1"/>
  <c r="P168" i="1" s="1"/>
  <c r="AA118" i="1"/>
  <c r="AA168" i="1" s="1"/>
  <c r="AK118" i="1"/>
  <c r="AK168" i="1" s="1"/>
  <c r="C119" i="1"/>
  <c r="C169" i="1" s="1"/>
  <c r="N119" i="1"/>
  <c r="N169" i="1" s="1"/>
  <c r="X119" i="1"/>
  <c r="X169" i="1" s="1"/>
  <c r="AI119" i="1"/>
  <c r="AI169" i="1" s="1"/>
  <c r="AT119" i="1"/>
  <c r="AT169" i="1" s="1"/>
  <c r="K120" i="1"/>
  <c r="K170" i="1" s="1"/>
  <c r="V120" i="1"/>
  <c r="V170" i="1" s="1"/>
  <c r="AG120" i="1"/>
  <c r="AG170" i="1" s="1"/>
  <c r="AQ120" i="1"/>
  <c r="AQ170" i="1" s="1"/>
  <c r="I121" i="1"/>
  <c r="I171" i="1" s="1"/>
  <c r="T121" i="1"/>
  <c r="T171" i="1" s="1"/>
  <c r="AD121" i="1"/>
  <c r="AD171" i="1" s="1"/>
  <c r="AO121" i="1"/>
  <c r="AO171" i="1" s="1"/>
  <c r="G122" i="1"/>
  <c r="G172" i="1" s="1"/>
  <c r="Q122" i="1"/>
  <c r="Q172" i="1" s="1"/>
  <c r="AB122" i="1"/>
  <c r="AB172" i="1" s="1"/>
  <c r="AM122" i="1"/>
  <c r="AM172" i="1" s="1"/>
  <c r="D123" i="1"/>
  <c r="D173" i="1" s="1"/>
  <c r="O123" i="1"/>
  <c r="O173" i="1" s="1"/>
  <c r="Z123" i="1"/>
  <c r="Z173" i="1" s="1"/>
  <c r="AJ123" i="1"/>
  <c r="AJ173" i="1" s="1"/>
  <c r="B124" i="1"/>
  <c r="B174" i="1" s="1"/>
  <c r="M124" i="1"/>
  <c r="M174" i="1" s="1"/>
  <c r="W124" i="1"/>
  <c r="W174" i="1" s="1"/>
  <c r="AH124" i="1"/>
  <c r="AH174" i="1" s="1"/>
  <c r="AS124" i="1"/>
  <c r="AS174" i="1" s="1"/>
  <c r="J125" i="1"/>
  <c r="J175" i="1" s="1"/>
  <c r="U125" i="1"/>
  <c r="U175" i="1" s="1"/>
  <c r="AF125" i="1"/>
  <c r="AF175" i="1" s="1"/>
  <c r="AP125" i="1"/>
  <c r="AP175" i="1" s="1"/>
  <c r="H126" i="1"/>
  <c r="H176" i="1" s="1"/>
  <c r="S126" i="1"/>
  <c r="S176" i="1" s="1"/>
  <c r="AC126" i="1"/>
  <c r="AC176" i="1" s="1"/>
  <c r="AN126" i="1"/>
  <c r="AN176" i="1" s="1"/>
  <c r="F127" i="1"/>
  <c r="F177" i="1" s="1"/>
  <c r="P127" i="1"/>
  <c r="P177" i="1" s="1"/>
  <c r="AA127" i="1"/>
  <c r="AA177" i="1" s="1"/>
  <c r="AL127" i="1"/>
  <c r="AL177" i="1" s="1"/>
  <c r="C128" i="1"/>
  <c r="C178" i="1" s="1"/>
  <c r="N128" i="1"/>
  <c r="N178" i="1" s="1"/>
  <c r="Y128" i="1"/>
  <c r="Y178" i="1" s="1"/>
  <c r="AI128" i="1"/>
  <c r="AI178" i="1" s="1"/>
  <c r="AT128" i="1"/>
  <c r="AT178" i="1" s="1"/>
  <c r="L129" i="1"/>
  <c r="L179" i="1" s="1"/>
  <c r="V129" i="1"/>
  <c r="V179" i="1" s="1"/>
  <c r="AG129" i="1"/>
  <c r="AG179" i="1" s="1"/>
  <c r="AR129" i="1"/>
  <c r="AR179" i="1" s="1"/>
  <c r="I130" i="1"/>
  <c r="I180" i="1" s="1"/>
  <c r="T130" i="1"/>
  <c r="T180" i="1" s="1"/>
  <c r="AE130" i="1"/>
  <c r="AE180" i="1" s="1"/>
  <c r="AO130" i="1"/>
  <c r="AO180" i="1" s="1"/>
  <c r="G131" i="1"/>
  <c r="G181" i="1" s="1"/>
  <c r="R131" i="1"/>
  <c r="R181" i="1" s="1"/>
  <c r="AB131" i="1"/>
  <c r="AB181" i="1" s="1"/>
  <c r="AM131" i="1"/>
  <c r="AM181" i="1" s="1"/>
  <c r="E132" i="1"/>
  <c r="E182" i="1" s="1"/>
  <c r="O132" i="1"/>
  <c r="O182" i="1" s="1"/>
  <c r="Z132" i="1"/>
  <c r="Z182" i="1" s="1"/>
  <c r="AK132" i="1"/>
  <c r="AK182" i="1" s="1"/>
  <c r="B133" i="1"/>
  <c r="B183" i="1" s="1"/>
  <c r="M133" i="1"/>
  <c r="M183" i="1" s="1"/>
  <c r="X133" i="1"/>
  <c r="X183" i="1" s="1"/>
  <c r="AH133" i="1"/>
  <c r="AH183" i="1" s="1"/>
  <c r="AS133" i="1"/>
  <c r="AS183" i="1" s="1"/>
  <c r="K134" i="1"/>
  <c r="K184" i="1" s="1"/>
  <c r="U134" i="1"/>
  <c r="U184" i="1" s="1"/>
  <c r="AF134" i="1"/>
  <c r="AF184" i="1" s="1"/>
  <c r="AQ134" i="1"/>
  <c r="AQ184" i="1" s="1"/>
  <c r="H135" i="1"/>
  <c r="H185" i="1" s="1"/>
  <c r="S135" i="1"/>
  <c r="S185" i="1" s="1"/>
  <c r="AD135" i="1"/>
  <c r="AD185" i="1" s="1"/>
  <c r="AN135" i="1"/>
  <c r="AN185" i="1" s="1"/>
  <c r="F136" i="1"/>
  <c r="F186" i="1" s="1"/>
  <c r="Q136" i="1"/>
  <c r="Q186" i="1" s="1"/>
  <c r="AA136" i="1"/>
  <c r="AA186" i="1" s="1"/>
  <c r="AL136" i="1"/>
  <c r="AL186" i="1" s="1"/>
  <c r="D137" i="1"/>
  <c r="D187" i="1" s="1"/>
  <c r="N137" i="1"/>
  <c r="N187" i="1" s="1"/>
  <c r="Y137" i="1"/>
  <c r="Y187" i="1" s="1"/>
  <c r="AJ137" i="1"/>
  <c r="AJ187" i="1" s="1"/>
  <c r="AT137" i="1"/>
  <c r="AT187" i="1" s="1"/>
  <c r="L138" i="1"/>
  <c r="L188" i="1" s="1"/>
  <c r="W138" i="1"/>
  <c r="W188" i="1" s="1"/>
  <c r="AG138" i="1"/>
  <c r="AG188" i="1" s="1"/>
  <c r="AR138" i="1"/>
  <c r="AR188" i="1" s="1"/>
  <c r="J139" i="1"/>
  <c r="J189" i="1" s="1"/>
  <c r="T139" i="1"/>
  <c r="T189" i="1" s="1"/>
  <c r="AE139" i="1"/>
  <c r="AE189" i="1" s="1"/>
  <c r="AP139" i="1"/>
  <c r="AP189" i="1" s="1"/>
  <c r="G140" i="1"/>
  <c r="G190" i="1" s="1"/>
  <c r="R140" i="1"/>
  <c r="R190" i="1" s="1"/>
  <c r="AC140" i="1"/>
  <c r="AC190" i="1" s="1"/>
  <c r="AM140" i="1"/>
  <c r="AM190" i="1" s="1"/>
  <c r="E141" i="1"/>
  <c r="E191" i="1" s="1"/>
  <c r="P141" i="1"/>
  <c r="P191" i="1" s="1"/>
  <c r="Z141" i="1"/>
  <c r="Z191" i="1" s="1"/>
  <c r="AK141" i="1"/>
  <c r="AK191" i="1" s="1"/>
  <c r="C142" i="1"/>
  <c r="C192" i="1" s="1"/>
  <c r="M142" i="1"/>
  <c r="M192" i="1" s="1"/>
  <c r="Y142" i="1"/>
  <c r="Y192" i="1" s="1"/>
  <c r="AK142" i="1"/>
  <c r="AK192" i="1" s="1"/>
  <c r="G143" i="1"/>
  <c r="G193" i="1" s="1"/>
  <c r="W143" i="1"/>
  <c r="W193" i="1" s="1"/>
  <c r="AM143" i="1"/>
  <c r="AM193" i="1" s="1"/>
  <c r="J144" i="1"/>
  <c r="J194" i="1" s="1"/>
  <c r="Z144" i="1"/>
  <c r="Z194" i="1" s="1"/>
  <c r="AP144" i="1"/>
  <c r="AP194" i="1" s="1"/>
  <c r="M145" i="1"/>
  <c r="M195" i="1" s="1"/>
  <c r="AC145" i="1"/>
  <c r="AC195" i="1" s="1"/>
  <c r="AS145" i="1"/>
  <c r="AS195" i="1" s="1"/>
  <c r="P146" i="1"/>
  <c r="P196" i="1" s="1"/>
  <c r="AF146" i="1"/>
  <c r="AF196" i="1" s="1"/>
  <c r="C147" i="1"/>
  <c r="C197" i="1" s="1"/>
  <c r="S147" i="1"/>
  <c r="S197" i="1" s="1"/>
  <c r="AI147" i="1"/>
  <c r="AI197" i="1" s="1"/>
  <c r="F148" i="1"/>
  <c r="F198" i="1" s="1"/>
  <c r="V148" i="1"/>
  <c r="V198" i="1" s="1"/>
  <c r="AL148" i="1"/>
  <c r="AL198" i="1" s="1"/>
  <c r="M149" i="1"/>
  <c r="M199" i="1" s="1"/>
  <c r="AS149" i="1"/>
  <c r="AS199" i="1" s="1"/>
  <c r="E114" i="1"/>
  <c r="E164" i="1" s="1"/>
  <c r="P114" i="1"/>
  <c r="P164" i="1" s="1"/>
  <c r="AA114" i="1"/>
  <c r="AA164" i="1" s="1"/>
  <c r="AK114" i="1"/>
  <c r="AK164" i="1" s="1"/>
  <c r="C115" i="1"/>
  <c r="C165" i="1" s="1"/>
  <c r="N115" i="1"/>
  <c r="N165" i="1" s="1"/>
  <c r="X115" i="1"/>
  <c r="X165" i="1" s="1"/>
  <c r="AI115" i="1"/>
  <c r="AI165" i="1" s="1"/>
  <c r="AT115" i="1"/>
  <c r="AT165" i="1" s="1"/>
  <c r="K116" i="1"/>
  <c r="K166" i="1" s="1"/>
  <c r="V116" i="1"/>
  <c r="V166" i="1" s="1"/>
  <c r="AG116" i="1"/>
  <c r="AG166" i="1" s="1"/>
  <c r="AQ116" i="1"/>
  <c r="AQ166" i="1" s="1"/>
  <c r="I117" i="1"/>
  <c r="I167" i="1" s="1"/>
  <c r="T117" i="1"/>
  <c r="T167" i="1" s="1"/>
  <c r="AD117" i="1"/>
  <c r="AD167" i="1" s="1"/>
  <c r="AO117" i="1"/>
  <c r="AO167" i="1" s="1"/>
  <c r="G118" i="1"/>
  <c r="G168" i="1" s="1"/>
  <c r="Q118" i="1"/>
  <c r="Q168" i="1" s="1"/>
  <c r="AB118" i="1"/>
  <c r="AB168" i="1" s="1"/>
  <c r="AM118" i="1"/>
  <c r="AM168" i="1" s="1"/>
  <c r="D119" i="1"/>
  <c r="D169" i="1" s="1"/>
  <c r="O119" i="1"/>
  <c r="O169" i="1" s="1"/>
  <c r="Z119" i="1"/>
  <c r="Z169" i="1" s="1"/>
  <c r="AJ119" i="1"/>
  <c r="AJ169" i="1" s="1"/>
  <c r="B120" i="1"/>
  <c r="B170" i="1" s="1"/>
  <c r="M120" i="1"/>
  <c r="M170" i="1" s="1"/>
  <c r="W120" i="1"/>
  <c r="W170" i="1" s="1"/>
  <c r="AH120" i="1"/>
  <c r="AH170" i="1" s="1"/>
  <c r="AS120" i="1"/>
  <c r="AS170" i="1" s="1"/>
  <c r="J121" i="1"/>
  <c r="J171" i="1" s="1"/>
  <c r="U121" i="1"/>
  <c r="U171" i="1" s="1"/>
  <c r="AF121" i="1"/>
  <c r="AF171" i="1" s="1"/>
  <c r="AP121" i="1"/>
  <c r="AP171" i="1" s="1"/>
  <c r="H122" i="1"/>
  <c r="H172" i="1" s="1"/>
  <c r="S122" i="1"/>
  <c r="S172" i="1" s="1"/>
  <c r="AC122" i="1"/>
  <c r="AC172" i="1" s="1"/>
  <c r="AN122" i="1"/>
  <c r="AN172" i="1" s="1"/>
  <c r="F123" i="1"/>
  <c r="F173" i="1" s="1"/>
  <c r="P123" i="1"/>
  <c r="P173" i="1" s="1"/>
  <c r="AA123" i="1"/>
  <c r="AA173" i="1" s="1"/>
  <c r="AL123" i="1"/>
  <c r="AL173" i="1" s="1"/>
  <c r="C124" i="1"/>
  <c r="C174" i="1" s="1"/>
  <c r="N124" i="1"/>
  <c r="N174" i="1" s="1"/>
  <c r="Y124" i="1"/>
  <c r="Y174" i="1" s="1"/>
  <c r="AI124" i="1"/>
  <c r="AI174" i="1" s="1"/>
  <c r="AT124" i="1"/>
  <c r="AT174" i="1" s="1"/>
  <c r="L125" i="1"/>
  <c r="L175" i="1" s="1"/>
  <c r="V125" i="1"/>
  <c r="V175" i="1" s="1"/>
  <c r="AG125" i="1"/>
  <c r="AG175" i="1" s="1"/>
  <c r="AR125" i="1"/>
  <c r="AR175" i="1" s="1"/>
  <c r="I126" i="1"/>
  <c r="I176" i="1" s="1"/>
  <c r="T126" i="1"/>
  <c r="T176" i="1" s="1"/>
  <c r="AE126" i="1"/>
  <c r="AE176" i="1" s="1"/>
  <c r="AO126" i="1"/>
  <c r="AO176" i="1" s="1"/>
  <c r="G127" i="1"/>
  <c r="G177" i="1" s="1"/>
  <c r="R127" i="1"/>
  <c r="R177" i="1" s="1"/>
  <c r="AB127" i="1"/>
  <c r="AB177" i="1" s="1"/>
  <c r="AM127" i="1"/>
  <c r="AM177" i="1" s="1"/>
  <c r="E128" i="1"/>
  <c r="E178" i="1" s="1"/>
  <c r="O128" i="1"/>
  <c r="O178" i="1" s="1"/>
  <c r="Z128" i="1"/>
  <c r="Z178" i="1" s="1"/>
  <c r="AK128" i="1"/>
  <c r="AK178" i="1" s="1"/>
  <c r="B129" i="1"/>
  <c r="B179" i="1" s="1"/>
  <c r="M129" i="1"/>
  <c r="M179" i="1" s="1"/>
  <c r="X129" i="1"/>
  <c r="X179" i="1" s="1"/>
  <c r="AH129" i="1"/>
  <c r="AH179" i="1" s="1"/>
  <c r="AS129" i="1"/>
  <c r="AS179" i="1" s="1"/>
  <c r="K130" i="1"/>
  <c r="K180" i="1" s="1"/>
  <c r="U130" i="1"/>
  <c r="U180" i="1" s="1"/>
  <c r="AF130" i="1"/>
  <c r="AF180" i="1" s="1"/>
  <c r="AQ130" i="1"/>
  <c r="AQ180" i="1" s="1"/>
  <c r="H131" i="1"/>
  <c r="H181" i="1" s="1"/>
  <c r="S131" i="1"/>
  <c r="S181" i="1" s="1"/>
  <c r="AD131" i="1"/>
  <c r="AD181" i="1" s="1"/>
  <c r="AN131" i="1"/>
  <c r="AN181" i="1" s="1"/>
  <c r="F132" i="1"/>
  <c r="F182" i="1" s="1"/>
  <c r="Q132" i="1"/>
  <c r="Q182" i="1" s="1"/>
  <c r="AA132" i="1"/>
  <c r="AA182" i="1" s="1"/>
  <c r="AL132" i="1"/>
  <c r="AL182" i="1" s="1"/>
  <c r="D133" i="1"/>
  <c r="D183" i="1" s="1"/>
  <c r="N133" i="1"/>
  <c r="N183" i="1" s="1"/>
  <c r="Y133" i="1"/>
  <c r="Y183" i="1" s="1"/>
  <c r="AJ133" i="1"/>
  <c r="AJ183" i="1" s="1"/>
  <c r="AT133" i="1"/>
  <c r="AT183" i="1" s="1"/>
  <c r="L134" i="1"/>
  <c r="L184" i="1" s="1"/>
  <c r="W134" i="1"/>
  <c r="W184" i="1" s="1"/>
  <c r="AG134" i="1"/>
  <c r="AG184" i="1" s="1"/>
  <c r="AR134" i="1"/>
  <c r="AR184" i="1" s="1"/>
  <c r="J135" i="1"/>
  <c r="J185" i="1" s="1"/>
  <c r="T135" i="1"/>
  <c r="T185" i="1" s="1"/>
  <c r="AE135" i="1"/>
  <c r="AE185" i="1" s="1"/>
  <c r="AP135" i="1"/>
  <c r="AP185" i="1" s="1"/>
  <c r="G136" i="1"/>
  <c r="G186" i="1" s="1"/>
  <c r="R136" i="1"/>
  <c r="R186" i="1" s="1"/>
  <c r="AC136" i="1"/>
  <c r="AC186" i="1" s="1"/>
  <c r="AM136" i="1"/>
  <c r="AM186" i="1" s="1"/>
  <c r="E137" i="1"/>
  <c r="E187" i="1" s="1"/>
  <c r="P137" i="1"/>
  <c r="P187" i="1" s="1"/>
  <c r="Z137" i="1"/>
  <c r="Z187" i="1" s="1"/>
  <c r="AK137" i="1"/>
  <c r="AK187" i="1" s="1"/>
  <c r="C138" i="1"/>
  <c r="C188" i="1" s="1"/>
  <c r="M138" i="1"/>
  <c r="M188" i="1" s="1"/>
  <c r="X138" i="1"/>
  <c r="X188" i="1" s="1"/>
  <c r="AI138" i="1"/>
  <c r="AI188" i="1" s="1"/>
  <c r="AS138" i="1"/>
  <c r="AS188" i="1" s="1"/>
  <c r="K139" i="1"/>
  <c r="K189" i="1" s="1"/>
  <c r="V139" i="1"/>
  <c r="V189" i="1" s="1"/>
  <c r="AF139" i="1"/>
  <c r="AF189" i="1" s="1"/>
  <c r="AQ139" i="1"/>
  <c r="AQ189" i="1" s="1"/>
  <c r="I140" i="1"/>
  <c r="I190" i="1" s="1"/>
  <c r="S140" i="1"/>
  <c r="S190" i="1" s="1"/>
  <c r="AD140" i="1"/>
  <c r="AD190" i="1" s="1"/>
  <c r="AO140" i="1"/>
  <c r="AO190" i="1" s="1"/>
  <c r="F141" i="1"/>
  <c r="F191" i="1" s="1"/>
  <c r="Q141" i="1"/>
  <c r="Q191" i="1" s="1"/>
  <c r="AB141" i="1"/>
  <c r="AB191" i="1" s="1"/>
  <c r="AL141" i="1"/>
  <c r="AL191" i="1" s="1"/>
  <c r="D142" i="1"/>
  <c r="D192" i="1" s="1"/>
  <c r="O142" i="1"/>
  <c r="O192" i="1" s="1"/>
  <c r="AA142" i="1"/>
  <c r="AA192" i="1" s="1"/>
  <c r="AN142" i="1"/>
  <c r="AN192" i="1" s="1"/>
  <c r="H143" i="1"/>
  <c r="H193" i="1" s="1"/>
  <c r="X143" i="1"/>
  <c r="X193" i="1" s="1"/>
  <c r="AN143" i="1"/>
  <c r="AN193" i="1" s="1"/>
  <c r="K144" i="1"/>
  <c r="K194" i="1" s="1"/>
  <c r="AA144" i="1"/>
  <c r="AA194" i="1" s="1"/>
  <c r="AQ144" i="1"/>
  <c r="AQ194" i="1" s="1"/>
  <c r="N145" i="1"/>
  <c r="N195" i="1" s="1"/>
  <c r="AD145" i="1"/>
  <c r="AD195" i="1" s="1"/>
  <c r="AT145" i="1"/>
  <c r="AT195" i="1" s="1"/>
  <c r="Q146" i="1"/>
  <c r="Q196" i="1" s="1"/>
  <c r="AG146" i="1"/>
  <c r="AG196" i="1" s="1"/>
  <c r="D147" i="1"/>
  <c r="D197" i="1" s="1"/>
  <c r="T147" i="1"/>
  <c r="T197" i="1" s="1"/>
  <c r="AJ147" i="1"/>
  <c r="AJ197" i="1" s="1"/>
  <c r="G148" i="1"/>
  <c r="G198" i="1" s="1"/>
  <c r="W148" i="1"/>
  <c r="W198" i="1" s="1"/>
  <c r="AM148" i="1"/>
  <c r="AM198" i="1" s="1"/>
  <c r="Q149" i="1"/>
  <c r="Q199" i="1" s="1"/>
  <c r="D150" i="1"/>
  <c r="D200" i="1" s="1"/>
  <c r="B216" i="1" l="1" a="1"/>
  <c r="AT260" i="1" l="1"/>
  <c r="AL260" i="1"/>
  <c r="AD260" i="1"/>
  <c r="V260" i="1"/>
  <c r="N260" i="1"/>
  <c r="F260" i="1"/>
  <c r="AQ259" i="1"/>
  <c r="AI259" i="1"/>
  <c r="AA259" i="1"/>
  <c r="S259" i="1"/>
  <c r="K259" i="1"/>
  <c r="C259" i="1"/>
  <c r="AN258" i="1"/>
  <c r="AF258" i="1"/>
  <c r="X258" i="1"/>
  <c r="P258" i="1"/>
  <c r="H258" i="1"/>
  <c r="AS257" i="1"/>
  <c r="AK257" i="1"/>
  <c r="AC257" i="1"/>
  <c r="U257" i="1"/>
  <c r="M257" i="1"/>
  <c r="E257" i="1"/>
  <c r="AP256" i="1"/>
  <c r="AH256" i="1"/>
  <c r="Z256" i="1"/>
  <c r="R256" i="1"/>
  <c r="J256" i="1"/>
  <c r="B256" i="1"/>
  <c r="AM255" i="1"/>
  <c r="AE255" i="1"/>
  <c r="W255" i="1"/>
  <c r="O255" i="1"/>
  <c r="G255" i="1"/>
  <c r="AR254" i="1"/>
  <c r="AJ254" i="1"/>
  <c r="AB254" i="1"/>
  <c r="T254" i="1"/>
  <c r="L254" i="1"/>
  <c r="D254" i="1"/>
  <c r="AO253" i="1"/>
  <c r="AG253" i="1"/>
  <c r="Y253" i="1"/>
  <c r="Q253" i="1"/>
  <c r="I253" i="1"/>
  <c r="AT252" i="1"/>
  <c r="AL252" i="1"/>
  <c r="AD252" i="1"/>
  <c r="V252" i="1"/>
  <c r="N252" i="1"/>
  <c r="F252" i="1"/>
  <c r="AQ251" i="1"/>
  <c r="AI251" i="1"/>
  <c r="AA251" i="1"/>
  <c r="S251" i="1"/>
  <c r="K251" i="1"/>
  <c r="C251" i="1"/>
  <c r="AN250" i="1"/>
  <c r="AF250" i="1"/>
  <c r="X250" i="1"/>
  <c r="P250" i="1"/>
  <c r="H250" i="1"/>
  <c r="AS249" i="1"/>
  <c r="AK249" i="1"/>
  <c r="AC249" i="1"/>
  <c r="U249" i="1"/>
  <c r="M249" i="1"/>
  <c r="E249" i="1"/>
  <c r="AP248" i="1"/>
  <c r="AH248" i="1"/>
  <c r="Z248" i="1"/>
  <c r="R248" i="1"/>
  <c r="J248" i="1"/>
  <c r="B248" i="1"/>
  <c r="AM247" i="1"/>
  <c r="AE247" i="1"/>
  <c r="W247" i="1"/>
  <c r="O247" i="1"/>
  <c r="G247" i="1"/>
  <c r="AR246" i="1"/>
  <c r="AJ246" i="1"/>
  <c r="AB246" i="1"/>
  <c r="T246" i="1"/>
  <c r="L246" i="1"/>
  <c r="D246" i="1"/>
  <c r="AS260" i="1"/>
  <c r="AK260" i="1"/>
  <c r="AC260" i="1"/>
  <c r="U260" i="1"/>
  <c r="M260" i="1"/>
  <c r="E260" i="1"/>
  <c r="AP259" i="1"/>
  <c r="AH259" i="1"/>
  <c r="Z259" i="1"/>
  <c r="R259" i="1"/>
  <c r="J259" i="1"/>
  <c r="B259" i="1"/>
  <c r="AM258" i="1"/>
  <c r="AE258" i="1"/>
  <c r="W258" i="1"/>
  <c r="O258" i="1"/>
  <c r="G258" i="1"/>
  <c r="AR257" i="1"/>
  <c r="AJ257" i="1"/>
  <c r="AB257" i="1"/>
  <c r="T257" i="1"/>
  <c r="L257" i="1"/>
  <c r="D257" i="1"/>
  <c r="AO256" i="1"/>
  <c r="AG256" i="1"/>
  <c r="Y256" i="1"/>
  <c r="Q256" i="1"/>
  <c r="I256" i="1"/>
  <c r="AT255" i="1"/>
  <c r="AL255" i="1"/>
  <c r="AD255" i="1"/>
  <c r="V255" i="1"/>
  <c r="N255" i="1"/>
  <c r="F255" i="1"/>
  <c r="AQ254" i="1"/>
  <c r="AI254" i="1"/>
  <c r="AA254" i="1"/>
  <c r="S254" i="1"/>
  <c r="K254" i="1"/>
  <c r="C254" i="1"/>
  <c r="AN253" i="1"/>
  <c r="AF253" i="1"/>
  <c r="X253" i="1"/>
  <c r="P253" i="1"/>
  <c r="H253" i="1"/>
  <c r="AS252" i="1"/>
  <c r="AK252" i="1"/>
  <c r="AC252" i="1"/>
  <c r="U252" i="1"/>
  <c r="M252" i="1"/>
  <c r="E252" i="1"/>
  <c r="AP251" i="1"/>
  <c r="AH251" i="1"/>
  <c r="Z251" i="1"/>
  <c r="R251" i="1"/>
  <c r="J251" i="1"/>
  <c r="B251" i="1"/>
  <c r="AM250" i="1"/>
  <c r="AE250" i="1"/>
  <c r="W250" i="1"/>
  <c r="O250" i="1"/>
  <c r="G250" i="1"/>
  <c r="AR249" i="1"/>
  <c r="AJ249" i="1"/>
  <c r="AB249" i="1"/>
  <c r="T249" i="1"/>
  <c r="L249" i="1"/>
  <c r="D249" i="1"/>
  <c r="AO248" i="1"/>
  <c r="AG248" i="1"/>
  <c r="Y248" i="1"/>
  <c r="Q248" i="1"/>
  <c r="I248" i="1"/>
  <c r="AT247" i="1"/>
  <c r="AL247" i="1"/>
  <c r="AD247" i="1"/>
  <c r="V247" i="1"/>
  <c r="N247" i="1"/>
  <c r="AR260" i="1"/>
  <c r="AJ260" i="1"/>
  <c r="AB260" i="1"/>
  <c r="T260" i="1"/>
  <c r="L260" i="1"/>
  <c r="D260" i="1"/>
  <c r="AO259" i="1"/>
  <c r="AG259" i="1"/>
  <c r="Y259" i="1"/>
  <c r="Q259" i="1"/>
  <c r="I259" i="1"/>
  <c r="AT258" i="1"/>
  <c r="AL258" i="1"/>
  <c r="AD258" i="1"/>
  <c r="V258" i="1"/>
  <c r="N258" i="1"/>
  <c r="F258" i="1"/>
  <c r="AQ257" i="1"/>
  <c r="AI257" i="1"/>
  <c r="AA257" i="1"/>
  <c r="S257" i="1"/>
  <c r="K257" i="1"/>
  <c r="C257" i="1"/>
  <c r="AN256" i="1"/>
  <c r="AF256" i="1"/>
  <c r="X256" i="1"/>
  <c r="P256" i="1"/>
  <c r="H256" i="1"/>
  <c r="AS255" i="1"/>
  <c r="AK255" i="1"/>
  <c r="AC255" i="1"/>
  <c r="U255" i="1"/>
  <c r="M255" i="1"/>
  <c r="E255" i="1"/>
  <c r="AP254" i="1"/>
  <c r="AH254" i="1"/>
  <c r="Z254" i="1"/>
  <c r="R254" i="1"/>
  <c r="J254" i="1"/>
  <c r="B254" i="1"/>
  <c r="AM253" i="1"/>
  <c r="AE253" i="1"/>
  <c r="W253" i="1"/>
  <c r="O253" i="1"/>
  <c r="G253" i="1"/>
  <c r="AR252" i="1"/>
  <c r="AJ252" i="1"/>
  <c r="AB252" i="1"/>
  <c r="T252" i="1"/>
  <c r="L252" i="1"/>
  <c r="D252" i="1"/>
  <c r="AO251" i="1"/>
  <c r="AG251" i="1"/>
  <c r="Y251" i="1"/>
  <c r="Q251" i="1"/>
  <c r="I251" i="1"/>
  <c r="AT250" i="1"/>
  <c r="AL250" i="1"/>
  <c r="AD250" i="1"/>
  <c r="V250" i="1"/>
  <c r="N250" i="1"/>
  <c r="F250" i="1"/>
  <c r="AQ249" i="1"/>
  <c r="AI249" i="1"/>
  <c r="AA249" i="1"/>
  <c r="S249" i="1"/>
  <c r="K249" i="1"/>
  <c r="C249" i="1"/>
  <c r="AN248" i="1"/>
  <c r="AF248" i="1"/>
  <c r="X248" i="1"/>
  <c r="P248" i="1"/>
  <c r="H248" i="1"/>
  <c r="AS247" i="1"/>
  <c r="AK247" i="1"/>
  <c r="AC247" i="1"/>
  <c r="U247" i="1"/>
  <c r="M247" i="1"/>
  <c r="E247" i="1"/>
  <c r="AP246" i="1"/>
  <c r="AQ260" i="1"/>
  <c r="AI260" i="1"/>
  <c r="AA260" i="1"/>
  <c r="S260" i="1"/>
  <c r="K260" i="1"/>
  <c r="C260" i="1"/>
  <c r="AN259" i="1"/>
  <c r="AF259" i="1"/>
  <c r="X259" i="1"/>
  <c r="P259" i="1"/>
  <c r="H259" i="1"/>
  <c r="AS258" i="1"/>
  <c r="AK258" i="1"/>
  <c r="AC258" i="1"/>
  <c r="U258" i="1"/>
  <c r="M258" i="1"/>
  <c r="E258" i="1"/>
  <c r="AP257" i="1"/>
  <c r="AH257" i="1"/>
  <c r="Z257" i="1"/>
  <c r="R257" i="1"/>
  <c r="J257" i="1"/>
  <c r="B257" i="1"/>
  <c r="AM256" i="1"/>
  <c r="AE256" i="1"/>
  <c r="W256" i="1"/>
  <c r="O256" i="1"/>
  <c r="G256" i="1"/>
  <c r="AR255" i="1"/>
  <c r="AJ255" i="1"/>
  <c r="AB255" i="1"/>
  <c r="T255" i="1"/>
  <c r="L255" i="1"/>
  <c r="D255" i="1"/>
  <c r="AO254" i="1"/>
  <c r="AG254" i="1"/>
  <c r="Y254" i="1"/>
  <c r="Q254" i="1"/>
  <c r="I254" i="1"/>
  <c r="AT253" i="1"/>
  <c r="AL253" i="1"/>
  <c r="AD253" i="1"/>
  <c r="V253" i="1"/>
  <c r="N253" i="1"/>
  <c r="F253" i="1"/>
  <c r="AQ252" i="1"/>
  <c r="AI252" i="1"/>
  <c r="AA252" i="1"/>
  <c r="S252" i="1"/>
  <c r="K252" i="1"/>
  <c r="C252" i="1"/>
  <c r="AN251" i="1"/>
  <c r="AF251" i="1"/>
  <c r="X251" i="1"/>
  <c r="P251" i="1"/>
  <c r="H251" i="1"/>
  <c r="AS250" i="1"/>
  <c r="AK250" i="1"/>
  <c r="AC250" i="1"/>
  <c r="U250" i="1"/>
  <c r="M250" i="1"/>
  <c r="E250" i="1"/>
  <c r="AP249" i="1"/>
  <c r="AH249" i="1"/>
  <c r="Z249" i="1"/>
  <c r="R249" i="1"/>
  <c r="J249" i="1"/>
  <c r="B249" i="1"/>
  <c r="AM248" i="1"/>
  <c r="AE248" i="1"/>
  <c r="W248" i="1"/>
  <c r="O248" i="1"/>
  <c r="G248" i="1"/>
  <c r="AR247" i="1"/>
  <c r="AJ247" i="1"/>
  <c r="AB247" i="1"/>
  <c r="T247" i="1"/>
  <c r="L247" i="1"/>
  <c r="D247" i="1"/>
  <c r="AO246" i="1"/>
  <c r="AG246" i="1"/>
  <c r="Y246" i="1"/>
  <c r="Q246" i="1"/>
  <c r="I246" i="1"/>
  <c r="AT245" i="1"/>
  <c r="AP260" i="1"/>
  <c r="AH260" i="1"/>
  <c r="Z260" i="1"/>
  <c r="R260" i="1"/>
  <c r="J260" i="1"/>
  <c r="B260" i="1"/>
  <c r="AM259" i="1"/>
  <c r="AE259" i="1"/>
  <c r="W259" i="1"/>
  <c r="O259" i="1"/>
  <c r="G259" i="1"/>
  <c r="AR258" i="1"/>
  <c r="AJ258" i="1"/>
  <c r="AB258" i="1"/>
  <c r="T258" i="1"/>
  <c r="L258" i="1"/>
  <c r="D258" i="1"/>
  <c r="AO257" i="1"/>
  <c r="AG257" i="1"/>
  <c r="Y257" i="1"/>
  <c r="Q257" i="1"/>
  <c r="I257" i="1"/>
  <c r="AT256" i="1"/>
  <c r="AL256" i="1"/>
  <c r="AD256" i="1"/>
  <c r="V256" i="1"/>
  <c r="N256" i="1"/>
  <c r="F256" i="1"/>
  <c r="AQ255" i="1"/>
  <c r="AI255" i="1"/>
  <c r="AA255" i="1"/>
  <c r="S255" i="1"/>
  <c r="K255" i="1"/>
  <c r="C255" i="1"/>
  <c r="AN254" i="1"/>
  <c r="AF254" i="1"/>
  <c r="X254" i="1"/>
  <c r="P254" i="1"/>
  <c r="H254" i="1"/>
  <c r="AS253" i="1"/>
  <c r="AK253" i="1"/>
  <c r="AC253" i="1"/>
  <c r="U253" i="1"/>
  <c r="M253" i="1"/>
  <c r="E253" i="1"/>
  <c r="AP252" i="1"/>
  <c r="AH252" i="1"/>
  <c r="Z252" i="1"/>
  <c r="R252" i="1"/>
  <c r="J252" i="1"/>
  <c r="B252" i="1"/>
  <c r="AM251" i="1"/>
  <c r="AE251" i="1"/>
  <c r="W251" i="1"/>
  <c r="O251" i="1"/>
  <c r="G251" i="1"/>
  <c r="AR250" i="1"/>
  <c r="AJ250" i="1"/>
  <c r="AB250" i="1"/>
  <c r="T250" i="1"/>
  <c r="L250" i="1"/>
  <c r="D250" i="1"/>
  <c r="AO249" i="1"/>
  <c r="AG249" i="1"/>
  <c r="Y249" i="1"/>
  <c r="Q249" i="1"/>
  <c r="I249" i="1"/>
  <c r="AT248" i="1"/>
  <c r="AL248" i="1"/>
  <c r="AD248" i="1"/>
  <c r="V248" i="1"/>
  <c r="N248" i="1"/>
  <c r="F248" i="1"/>
  <c r="AQ247" i="1"/>
  <c r="AI247" i="1"/>
  <c r="AA247" i="1"/>
  <c r="S247" i="1"/>
  <c r="K247" i="1"/>
  <c r="C247" i="1"/>
  <c r="AN246" i="1"/>
  <c r="AO260" i="1"/>
  <c r="AG260" i="1"/>
  <c r="Y260" i="1"/>
  <c r="Q260" i="1"/>
  <c r="I260" i="1"/>
  <c r="AT259" i="1"/>
  <c r="AL259" i="1"/>
  <c r="AD259" i="1"/>
  <c r="V259" i="1"/>
  <c r="N259" i="1"/>
  <c r="F259" i="1"/>
  <c r="AQ258" i="1"/>
  <c r="AI258" i="1"/>
  <c r="AA258" i="1"/>
  <c r="S258" i="1"/>
  <c r="K258" i="1"/>
  <c r="C258" i="1"/>
  <c r="AN257" i="1"/>
  <c r="AF257" i="1"/>
  <c r="X257" i="1"/>
  <c r="P257" i="1"/>
  <c r="H257" i="1"/>
  <c r="AS256" i="1"/>
  <c r="AK256" i="1"/>
  <c r="AC256" i="1"/>
  <c r="U256" i="1"/>
  <c r="M256" i="1"/>
  <c r="E256" i="1"/>
  <c r="AP255" i="1"/>
  <c r="AH255" i="1"/>
  <c r="Z255" i="1"/>
  <c r="R255" i="1"/>
  <c r="J255" i="1"/>
  <c r="B255" i="1"/>
  <c r="AM254" i="1"/>
  <c r="AE254" i="1"/>
  <c r="W254" i="1"/>
  <c r="O254" i="1"/>
  <c r="G254" i="1"/>
  <c r="AR253" i="1"/>
  <c r="AJ253" i="1"/>
  <c r="AB253" i="1"/>
  <c r="T253" i="1"/>
  <c r="L253" i="1"/>
  <c r="D253" i="1"/>
  <c r="AO252" i="1"/>
  <c r="AG252" i="1"/>
  <c r="Y252" i="1"/>
  <c r="Q252" i="1"/>
  <c r="I252" i="1"/>
  <c r="AT251" i="1"/>
  <c r="AL251" i="1"/>
  <c r="AD251" i="1"/>
  <c r="V251" i="1"/>
  <c r="N251" i="1"/>
  <c r="F251" i="1"/>
  <c r="AQ250" i="1"/>
  <c r="AI250" i="1"/>
  <c r="AA250" i="1"/>
  <c r="S250" i="1"/>
  <c r="K250" i="1"/>
  <c r="C250" i="1"/>
  <c r="AN249" i="1"/>
  <c r="AF249" i="1"/>
  <c r="X249" i="1"/>
  <c r="P249" i="1"/>
  <c r="H249" i="1"/>
  <c r="AS248" i="1"/>
  <c r="AK248" i="1"/>
  <c r="AC248" i="1"/>
  <c r="U248" i="1"/>
  <c r="M248" i="1"/>
  <c r="E248" i="1"/>
  <c r="AP247" i="1"/>
  <c r="AH247" i="1"/>
  <c r="Z247" i="1"/>
  <c r="R247" i="1"/>
  <c r="J247" i="1"/>
  <c r="B247" i="1"/>
  <c r="AM246" i="1"/>
  <c r="AE246" i="1"/>
  <c r="W246" i="1"/>
  <c r="O246" i="1"/>
  <c r="G246" i="1"/>
  <c r="AR245" i="1"/>
  <c r="AN260" i="1"/>
  <c r="AF260" i="1"/>
  <c r="X260" i="1"/>
  <c r="P260" i="1"/>
  <c r="H260" i="1"/>
  <c r="AS259" i="1"/>
  <c r="AK259" i="1"/>
  <c r="AC259" i="1"/>
  <c r="U259" i="1"/>
  <c r="M259" i="1"/>
  <c r="E259" i="1"/>
  <c r="AP258" i="1"/>
  <c r="AH258" i="1"/>
  <c r="Z258" i="1"/>
  <c r="R258" i="1"/>
  <c r="J258" i="1"/>
  <c r="B258" i="1"/>
  <c r="AM257" i="1"/>
  <c r="AE257" i="1"/>
  <c r="W257" i="1"/>
  <c r="O257" i="1"/>
  <c r="G257" i="1"/>
  <c r="AR256" i="1"/>
  <c r="AJ256" i="1"/>
  <c r="AB256" i="1"/>
  <c r="T256" i="1"/>
  <c r="L256" i="1"/>
  <c r="D256" i="1"/>
  <c r="AO255" i="1"/>
  <c r="AG255" i="1"/>
  <c r="Y255" i="1"/>
  <c r="Q255" i="1"/>
  <c r="I255" i="1"/>
  <c r="AT254" i="1"/>
  <c r="AL254" i="1"/>
  <c r="AD254" i="1"/>
  <c r="V254" i="1"/>
  <c r="N254" i="1"/>
  <c r="F254" i="1"/>
  <c r="AQ253" i="1"/>
  <c r="AI253" i="1"/>
  <c r="AA253" i="1"/>
  <c r="S253" i="1"/>
  <c r="K253" i="1"/>
  <c r="C253" i="1"/>
  <c r="AN252" i="1"/>
  <c r="AF252" i="1"/>
  <c r="X252" i="1"/>
  <c r="P252" i="1"/>
  <c r="H252" i="1"/>
  <c r="AS251" i="1"/>
  <c r="AK251" i="1"/>
  <c r="AC251" i="1"/>
  <c r="U251" i="1"/>
  <c r="M251" i="1"/>
  <c r="E251" i="1"/>
  <c r="AP250" i="1"/>
  <c r="AH250" i="1"/>
  <c r="Z250" i="1"/>
  <c r="R250" i="1"/>
  <c r="J250" i="1"/>
  <c r="B250" i="1"/>
  <c r="AM249" i="1"/>
  <c r="AE249" i="1"/>
  <c r="W249" i="1"/>
  <c r="O249" i="1"/>
  <c r="G249" i="1"/>
  <c r="AR248" i="1"/>
  <c r="AJ248" i="1"/>
  <c r="AB248" i="1"/>
  <c r="T248" i="1"/>
  <c r="L248" i="1"/>
  <c r="D248" i="1"/>
  <c r="AO247" i="1"/>
  <c r="AG247" i="1"/>
  <c r="Y247" i="1"/>
  <c r="Q247" i="1"/>
  <c r="I247" i="1"/>
  <c r="AM260" i="1"/>
  <c r="AE260" i="1"/>
  <c r="W260" i="1"/>
  <c r="O260" i="1"/>
  <c r="G260" i="1"/>
  <c r="AR259" i="1"/>
  <c r="AJ259" i="1"/>
  <c r="AB259" i="1"/>
  <c r="T259" i="1"/>
  <c r="L259" i="1"/>
  <c r="D259" i="1"/>
  <c r="AO258" i="1"/>
  <c r="AG258" i="1"/>
  <c r="Y258" i="1"/>
  <c r="Q258" i="1"/>
  <c r="I258" i="1"/>
  <c r="AT257" i="1"/>
  <c r="AL257" i="1"/>
  <c r="AD257" i="1"/>
  <c r="V257" i="1"/>
  <c r="N257" i="1"/>
  <c r="F257" i="1"/>
  <c r="AQ256" i="1"/>
  <c r="AI256" i="1"/>
  <c r="AA256" i="1"/>
  <c r="S256" i="1"/>
  <c r="K256" i="1"/>
  <c r="C256" i="1"/>
  <c r="AN255" i="1"/>
  <c r="AF255" i="1"/>
  <c r="X255" i="1"/>
  <c r="P255" i="1"/>
  <c r="H255" i="1"/>
  <c r="AS254" i="1"/>
  <c r="AK254" i="1"/>
  <c r="AC254" i="1"/>
  <c r="U254" i="1"/>
  <c r="M254" i="1"/>
  <c r="E254" i="1"/>
  <c r="AP253" i="1"/>
  <c r="AH253" i="1"/>
  <c r="Z253" i="1"/>
  <c r="R253" i="1"/>
  <c r="J253" i="1"/>
  <c r="B253" i="1"/>
  <c r="AM252" i="1"/>
  <c r="AE252" i="1"/>
  <c r="W252" i="1"/>
  <c r="O252" i="1"/>
  <c r="G252" i="1"/>
  <c r="AR251" i="1"/>
  <c r="AJ251" i="1"/>
  <c r="AB251" i="1"/>
  <c r="T251" i="1"/>
  <c r="L251" i="1"/>
  <c r="D251" i="1"/>
  <c r="AO250" i="1"/>
  <c r="AG250" i="1"/>
  <c r="Y250" i="1"/>
  <c r="Q250" i="1"/>
  <c r="I250" i="1"/>
  <c r="AT249" i="1"/>
  <c r="AL249" i="1"/>
  <c r="AD249" i="1"/>
  <c r="V249" i="1"/>
  <c r="N249" i="1"/>
  <c r="F249" i="1"/>
  <c r="AQ248" i="1"/>
  <c r="AI248" i="1"/>
  <c r="AA248" i="1"/>
  <c r="S248" i="1"/>
  <c r="K248" i="1"/>
  <c r="C248" i="1"/>
  <c r="AN247" i="1"/>
  <c r="AF247" i="1"/>
  <c r="X247" i="1"/>
  <c r="P247" i="1"/>
  <c r="H247" i="1"/>
  <c r="AS246" i="1"/>
  <c r="AK246" i="1"/>
  <c r="AC246" i="1"/>
  <c r="U246" i="1"/>
  <c r="M246" i="1"/>
  <c r="E246" i="1"/>
  <c r="AP245" i="1"/>
  <c r="F247" i="1"/>
  <c r="AA246" i="1"/>
  <c r="K246" i="1"/>
  <c r="AO245" i="1"/>
  <c r="AG245" i="1"/>
  <c r="Y245" i="1"/>
  <c r="Q245" i="1"/>
  <c r="I245" i="1"/>
  <c r="AT244" i="1"/>
  <c r="AL244" i="1"/>
  <c r="AD244" i="1"/>
  <c r="V244" i="1"/>
  <c r="N244" i="1"/>
  <c r="F244" i="1"/>
  <c r="AQ243" i="1"/>
  <c r="AI243" i="1"/>
  <c r="AA243" i="1"/>
  <c r="S243" i="1"/>
  <c r="K243" i="1"/>
  <c r="C243" i="1"/>
  <c r="AN242" i="1"/>
  <c r="AF242" i="1"/>
  <c r="X242" i="1"/>
  <c r="P242" i="1"/>
  <c r="H242" i="1"/>
  <c r="AS241" i="1"/>
  <c r="AK241" i="1"/>
  <c r="AC241" i="1"/>
  <c r="U241" i="1"/>
  <c r="M241" i="1"/>
  <c r="E241" i="1"/>
  <c r="AP240" i="1"/>
  <c r="AH240" i="1"/>
  <c r="Z240" i="1"/>
  <c r="R240" i="1"/>
  <c r="J240" i="1"/>
  <c r="B240" i="1"/>
  <c r="AM239" i="1"/>
  <c r="AE239" i="1"/>
  <c r="W239" i="1"/>
  <c r="O239" i="1"/>
  <c r="G239" i="1"/>
  <c r="AR238" i="1"/>
  <c r="AJ238" i="1"/>
  <c r="AB238" i="1"/>
  <c r="T238" i="1"/>
  <c r="L238" i="1"/>
  <c r="D238" i="1"/>
  <c r="AO237" i="1"/>
  <c r="AG237" i="1"/>
  <c r="Y237" i="1"/>
  <c r="AT246" i="1"/>
  <c r="Z246" i="1"/>
  <c r="J246" i="1"/>
  <c r="AN245" i="1"/>
  <c r="AF245" i="1"/>
  <c r="X245" i="1"/>
  <c r="P245" i="1"/>
  <c r="H245" i="1"/>
  <c r="AS244" i="1"/>
  <c r="AK244" i="1"/>
  <c r="AC244" i="1"/>
  <c r="U244" i="1"/>
  <c r="M244" i="1"/>
  <c r="E244" i="1"/>
  <c r="AP243" i="1"/>
  <c r="AH243" i="1"/>
  <c r="Z243" i="1"/>
  <c r="R243" i="1"/>
  <c r="J243" i="1"/>
  <c r="B243" i="1"/>
  <c r="AM242" i="1"/>
  <c r="AE242" i="1"/>
  <c r="W242" i="1"/>
  <c r="O242" i="1"/>
  <c r="G242" i="1"/>
  <c r="AR241" i="1"/>
  <c r="AJ241" i="1"/>
  <c r="AB241" i="1"/>
  <c r="T241" i="1"/>
  <c r="L241" i="1"/>
  <c r="D241" i="1"/>
  <c r="AO240" i="1"/>
  <c r="AG240" i="1"/>
  <c r="Y240" i="1"/>
  <c r="Q240" i="1"/>
  <c r="I240" i="1"/>
  <c r="AT239" i="1"/>
  <c r="AL239" i="1"/>
  <c r="AD239" i="1"/>
  <c r="V239" i="1"/>
  <c r="N239" i="1"/>
  <c r="F239" i="1"/>
  <c r="AQ238" i="1"/>
  <c r="AI238" i="1"/>
  <c r="AA238" i="1"/>
  <c r="S238" i="1"/>
  <c r="K238" i="1"/>
  <c r="C238" i="1"/>
  <c r="AN237" i="1"/>
  <c r="AF237" i="1"/>
  <c r="X237" i="1"/>
  <c r="P237" i="1"/>
  <c r="H237" i="1"/>
  <c r="AS236" i="1"/>
  <c r="AK236" i="1"/>
  <c r="AC236" i="1"/>
  <c r="U236" i="1"/>
  <c r="M236" i="1"/>
  <c r="E236" i="1"/>
  <c r="AP235" i="1"/>
  <c r="AH235" i="1"/>
  <c r="Z235" i="1"/>
  <c r="R235" i="1"/>
  <c r="J235" i="1"/>
  <c r="B235" i="1"/>
  <c r="AM234" i="1"/>
  <c r="AE234" i="1"/>
  <c r="W234" i="1"/>
  <c r="O234" i="1"/>
  <c r="G234" i="1"/>
  <c r="AR233" i="1"/>
  <c r="AJ233" i="1"/>
  <c r="AB233" i="1"/>
  <c r="T233" i="1"/>
  <c r="L233" i="1"/>
  <c r="D233" i="1"/>
  <c r="AO232" i="1"/>
  <c r="AG232" i="1"/>
  <c r="Y232" i="1"/>
  <c r="Q232" i="1"/>
  <c r="I232" i="1"/>
  <c r="AT231" i="1"/>
  <c r="AL231" i="1"/>
  <c r="AD231" i="1"/>
  <c r="V231" i="1"/>
  <c r="AQ246" i="1"/>
  <c r="X246" i="1"/>
  <c r="H246" i="1"/>
  <c r="AM245" i="1"/>
  <c r="AE245" i="1"/>
  <c r="W245" i="1"/>
  <c r="O245" i="1"/>
  <c r="G245" i="1"/>
  <c r="AR244" i="1"/>
  <c r="AJ244" i="1"/>
  <c r="AB244" i="1"/>
  <c r="T244" i="1"/>
  <c r="L244" i="1"/>
  <c r="D244" i="1"/>
  <c r="AO243" i="1"/>
  <c r="AG243" i="1"/>
  <c r="Y243" i="1"/>
  <c r="Q243" i="1"/>
  <c r="I243" i="1"/>
  <c r="AT242" i="1"/>
  <c r="AL242" i="1"/>
  <c r="AD242" i="1"/>
  <c r="V242" i="1"/>
  <c r="N242" i="1"/>
  <c r="F242" i="1"/>
  <c r="AQ241" i="1"/>
  <c r="AI241" i="1"/>
  <c r="AA241" i="1"/>
  <c r="S241" i="1"/>
  <c r="K241" i="1"/>
  <c r="C241" i="1"/>
  <c r="AN240" i="1"/>
  <c r="AF240" i="1"/>
  <c r="X240" i="1"/>
  <c r="P240" i="1"/>
  <c r="H240" i="1"/>
  <c r="AS239" i="1"/>
  <c r="AK239" i="1"/>
  <c r="AC239" i="1"/>
  <c r="U239" i="1"/>
  <c r="M239" i="1"/>
  <c r="AL246" i="1"/>
  <c r="V246" i="1"/>
  <c r="F246" i="1"/>
  <c r="AL245" i="1"/>
  <c r="AD245" i="1"/>
  <c r="V245" i="1"/>
  <c r="N245" i="1"/>
  <c r="F245" i="1"/>
  <c r="AQ244" i="1"/>
  <c r="AI244" i="1"/>
  <c r="AA244" i="1"/>
  <c r="S244" i="1"/>
  <c r="K244" i="1"/>
  <c r="C244" i="1"/>
  <c r="AN243" i="1"/>
  <c r="AF243" i="1"/>
  <c r="X243" i="1"/>
  <c r="P243" i="1"/>
  <c r="H243" i="1"/>
  <c r="AS242" i="1"/>
  <c r="AK242" i="1"/>
  <c r="AC242" i="1"/>
  <c r="U242" i="1"/>
  <c r="M242" i="1"/>
  <c r="E242" i="1"/>
  <c r="AP241" i="1"/>
  <c r="AH241" i="1"/>
  <c r="Z241" i="1"/>
  <c r="R241" i="1"/>
  <c r="J241" i="1"/>
  <c r="B241" i="1"/>
  <c r="AM240" i="1"/>
  <c r="AE240" i="1"/>
  <c r="W240" i="1"/>
  <c r="O240" i="1"/>
  <c r="G240" i="1"/>
  <c r="AR239" i="1"/>
  <c r="AJ239" i="1"/>
  <c r="AB239" i="1"/>
  <c r="T239" i="1"/>
  <c r="L239" i="1"/>
  <c r="D239" i="1"/>
  <c r="AO238" i="1"/>
  <c r="AG238" i="1"/>
  <c r="Y238" i="1"/>
  <c r="Q238" i="1"/>
  <c r="I238" i="1"/>
  <c r="AT237" i="1"/>
  <c r="AL237" i="1"/>
  <c r="AD237" i="1"/>
  <c r="V237" i="1"/>
  <c r="N237" i="1"/>
  <c r="F237" i="1"/>
  <c r="AQ236" i="1"/>
  <c r="AI236" i="1"/>
  <c r="AA236" i="1"/>
  <c r="S236" i="1"/>
  <c r="K236" i="1"/>
  <c r="C236" i="1"/>
  <c r="AN235" i="1"/>
  <c r="AF235" i="1"/>
  <c r="X235" i="1"/>
  <c r="P235" i="1"/>
  <c r="H235" i="1"/>
  <c r="AS234" i="1"/>
  <c r="AK234" i="1"/>
  <c r="AC234" i="1"/>
  <c r="U234" i="1"/>
  <c r="M234" i="1"/>
  <c r="E234" i="1"/>
  <c r="AP233" i="1"/>
  <c r="AH233" i="1"/>
  <c r="Z233" i="1"/>
  <c r="R233" i="1"/>
  <c r="J233" i="1"/>
  <c r="B233" i="1"/>
  <c r="AM232" i="1"/>
  <c r="AE232" i="1"/>
  <c r="W232" i="1"/>
  <c r="O232" i="1"/>
  <c r="G232" i="1"/>
  <c r="AR231" i="1"/>
  <c r="AJ231" i="1"/>
  <c r="AB231" i="1"/>
  <c r="T231" i="1"/>
  <c r="AI246" i="1"/>
  <c r="S246" i="1"/>
  <c r="C246" i="1"/>
  <c r="AK245" i="1"/>
  <c r="AC245" i="1"/>
  <c r="U245" i="1"/>
  <c r="M245" i="1"/>
  <c r="E245" i="1"/>
  <c r="AP244" i="1"/>
  <c r="AH244" i="1"/>
  <c r="Z244" i="1"/>
  <c r="R244" i="1"/>
  <c r="J244" i="1"/>
  <c r="B244" i="1"/>
  <c r="AM243" i="1"/>
  <c r="AE243" i="1"/>
  <c r="W243" i="1"/>
  <c r="O243" i="1"/>
  <c r="G243" i="1"/>
  <c r="AR242" i="1"/>
  <c r="AJ242" i="1"/>
  <c r="AB242" i="1"/>
  <c r="T242" i="1"/>
  <c r="L242" i="1"/>
  <c r="D242" i="1"/>
  <c r="AO241" i="1"/>
  <c r="AG241" i="1"/>
  <c r="Y241" i="1"/>
  <c r="Q241" i="1"/>
  <c r="I241" i="1"/>
  <c r="AT240" i="1"/>
  <c r="AL240" i="1"/>
  <c r="AD240" i="1"/>
  <c r="V240" i="1"/>
  <c r="N240" i="1"/>
  <c r="F240" i="1"/>
  <c r="AQ239" i="1"/>
  <c r="AI239" i="1"/>
  <c r="AA239" i="1"/>
  <c r="S239" i="1"/>
  <c r="K239" i="1"/>
  <c r="AH246" i="1"/>
  <c r="R246" i="1"/>
  <c r="B246" i="1"/>
  <c r="AJ245" i="1"/>
  <c r="AB245" i="1"/>
  <c r="T245" i="1"/>
  <c r="L245" i="1"/>
  <c r="D245" i="1"/>
  <c r="AO244" i="1"/>
  <c r="AG244" i="1"/>
  <c r="Y244" i="1"/>
  <c r="Q244" i="1"/>
  <c r="I244" i="1"/>
  <c r="AT243" i="1"/>
  <c r="AL243" i="1"/>
  <c r="AD243" i="1"/>
  <c r="V243" i="1"/>
  <c r="N243" i="1"/>
  <c r="F243" i="1"/>
  <c r="AQ242" i="1"/>
  <c r="AI242" i="1"/>
  <c r="AA242" i="1"/>
  <c r="S242" i="1"/>
  <c r="K242" i="1"/>
  <c r="C242" i="1"/>
  <c r="AN241" i="1"/>
  <c r="AF241" i="1"/>
  <c r="X241" i="1"/>
  <c r="P241" i="1"/>
  <c r="H241" i="1"/>
  <c r="AS240" i="1"/>
  <c r="AK240" i="1"/>
  <c r="AC240" i="1"/>
  <c r="U240" i="1"/>
  <c r="M240" i="1"/>
  <c r="E240" i="1"/>
  <c r="AP239" i="1"/>
  <c r="AH239" i="1"/>
  <c r="Z239" i="1"/>
  <c r="R239" i="1"/>
  <c r="J239" i="1"/>
  <c r="B239" i="1"/>
  <c r="AM238" i="1"/>
  <c r="AE238" i="1"/>
  <c r="W238" i="1"/>
  <c r="O238" i="1"/>
  <c r="G238" i="1"/>
  <c r="AR237" i="1"/>
  <c r="AJ237" i="1"/>
  <c r="AB237" i="1"/>
  <c r="AD246" i="1"/>
  <c r="N246" i="1"/>
  <c r="AQ245" i="1"/>
  <c r="AH245" i="1"/>
  <c r="Z245" i="1"/>
  <c r="R245" i="1"/>
  <c r="J245" i="1"/>
  <c r="B245" i="1"/>
  <c r="AM244" i="1"/>
  <c r="AE244" i="1"/>
  <c r="W244" i="1"/>
  <c r="O244" i="1"/>
  <c r="G244" i="1"/>
  <c r="AR243" i="1"/>
  <c r="AJ243" i="1"/>
  <c r="AB243" i="1"/>
  <c r="T243" i="1"/>
  <c r="L243" i="1"/>
  <c r="D243" i="1"/>
  <c r="AO242" i="1"/>
  <c r="AG242" i="1"/>
  <c r="Y242" i="1"/>
  <c r="Q242" i="1"/>
  <c r="I242" i="1"/>
  <c r="AT241" i="1"/>
  <c r="AL241" i="1"/>
  <c r="AD241" i="1"/>
  <c r="V241" i="1"/>
  <c r="N241" i="1"/>
  <c r="F241" i="1"/>
  <c r="AQ240" i="1"/>
  <c r="AI240" i="1"/>
  <c r="AA240" i="1"/>
  <c r="S240" i="1"/>
  <c r="K240" i="1"/>
  <c r="C240" i="1"/>
  <c r="AN239" i="1"/>
  <c r="AF239" i="1"/>
  <c r="X239" i="1"/>
  <c r="P239" i="1"/>
  <c r="H239" i="1"/>
  <c r="AS238" i="1"/>
  <c r="AK238" i="1"/>
  <c r="AC238" i="1"/>
  <c r="U238" i="1"/>
  <c r="M238" i="1"/>
  <c r="E238" i="1"/>
  <c r="AP237" i="1"/>
  <c r="AH237" i="1"/>
  <c r="Z237" i="1"/>
  <c r="R237" i="1"/>
  <c r="J237" i="1"/>
  <c r="B237" i="1"/>
  <c r="AM236" i="1"/>
  <c r="AE236" i="1"/>
  <c r="W236" i="1"/>
  <c r="O236" i="1"/>
  <c r="G236" i="1"/>
  <c r="AR235" i="1"/>
  <c r="AJ235" i="1"/>
  <c r="AB235" i="1"/>
  <c r="T235" i="1"/>
  <c r="L235" i="1"/>
  <c r="D235" i="1"/>
  <c r="AO234" i="1"/>
  <c r="AG234" i="1"/>
  <c r="Y234" i="1"/>
  <c r="Q234" i="1"/>
  <c r="I234" i="1"/>
  <c r="AT233" i="1"/>
  <c r="AL233" i="1"/>
  <c r="AD233" i="1"/>
  <c r="V233" i="1"/>
  <c r="N233" i="1"/>
  <c r="F233" i="1"/>
  <c r="AQ232" i="1"/>
  <c r="AI232" i="1"/>
  <c r="AA232" i="1"/>
  <c r="S232" i="1"/>
  <c r="K232" i="1"/>
  <c r="C232" i="1"/>
  <c r="AN231" i="1"/>
  <c r="AF231" i="1"/>
  <c r="X231" i="1"/>
  <c r="P231" i="1"/>
  <c r="H231" i="1"/>
  <c r="AS230" i="1"/>
  <c r="AK230" i="1"/>
  <c r="AC230" i="1"/>
  <c r="U230" i="1"/>
  <c r="M230" i="1"/>
  <c r="E230" i="1"/>
  <c r="AP229" i="1"/>
  <c r="AH229" i="1"/>
  <c r="Z229" i="1"/>
  <c r="R229" i="1"/>
  <c r="J229" i="1"/>
  <c r="B229" i="1"/>
  <c r="AM228" i="1"/>
  <c r="AE228" i="1"/>
  <c r="W228" i="1"/>
  <c r="O228" i="1"/>
  <c r="G228" i="1"/>
  <c r="AR227" i="1"/>
  <c r="AJ227" i="1"/>
  <c r="AB227" i="1"/>
  <c r="T227" i="1"/>
  <c r="L227" i="1"/>
  <c r="D227" i="1"/>
  <c r="AO226" i="1"/>
  <c r="AG226" i="1"/>
  <c r="Y226" i="1"/>
  <c r="Q226" i="1"/>
  <c r="I226" i="1"/>
  <c r="AF246" i="1"/>
  <c r="AN244" i="1"/>
  <c r="U243" i="1"/>
  <c r="B242" i="1"/>
  <c r="AB240" i="1"/>
  <c r="I239" i="1"/>
  <c r="AF238" i="1"/>
  <c r="J238" i="1"/>
  <c r="AI237" i="1"/>
  <c r="Q237" i="1"/>
  <c r="D237" i="1"/>
  <c r="AJ236" i="1"/>
  <c r="X236" i="1"/>
  <c r="J236" i="1"/>
  <c r="AQ235" i="1"/>
  <c r="AD235" i="1"/>
  <c r="Q235" i="1"/>
  <c r="E235" i="1"/>
  <c r="AJ234" i="1"/>
  <c r="X234" i="1"/>
  <c r="K234" i="1"/>
  <c r="AQ233" i="1"/>
  <c r="AE233" i="1"/>
  <c r="Q233" i="1"/>
  <c r="E233" i="1"/>
  <c r="AK232" i="1"/>
  <c r="X232" i="1"/>
  <c r="L232" i="1"/>
  <c r="AQ231" i="1"/>
  <c r="AE231" i="1"/>
  <c r="R231" i="1"/>
  <c r="I231" i="1"/>
  <c r="AR230" i="1"/>
  <c r="AI230" i="1"/>
  <c r="Z230" i="1"/>
  <c r="Q230" i="1"/>
  <c r="H230" i="1"/>
  <c r="AR229" i="1"/>
  <c r="AI229" i="1"/>
  <c r="Y229" i="1"/>
  <c r="P229" i="1"/>
  <c r="G229" i="1"/>
  <c r="AQ228" i="1"/>
  <c r="AH228" i="1"/>
  <c r="Y228" i="1"/>
  <c r="P228" i="1"/>
  <c r="F228" i="1"/>
  <c r="AP227" i="1"/>
  <c r="AG227" i="1"/>
  <c r="X227" i="1"/>
  <c r="O227" i="1"/>
  <c r="F227" i="1"/>
  <c r="AP226" i="1"/>
  <c r="AF226" i="1"/>
  <c r="W226" i="1"/>
  <c r="N226" i="1"/>
  <c r="E226" i="1"/>
  <c r="AP225" i="1"/>
  <c r="AH225" i="1"/>
  <c r="Z225" i="1"/>
  <c r="R225" i="1"/>
  <c r="J225" i="1"/>
  <c r="B225" i="1"/>
  <c r="AM224" i="1"/>
  <c r="AE224" i="1"/>
  <c r="W224" i="1"/>
  <c r="O224" i="1"/>
  <c r="G224" i="1"/>
  <c r="AR223" i="1"/>
  <c r="AJ223" i="1"/>
  <c r="AB223" i="1"/>
  <c r="T223" i="1"/>
  <c r="L223" i="1"/>
  <c r="D223" i="1"/>
  <c r="AO222" i="1"/>
  <c r="AG222" i="1"/>
  <c r="Y222" i="1"/>
  <c r="Q222" i="1"/>
  <c r="I222" i="1"/>
  <c r="AT221" i="1"/>
  <c r="AL221" i="1"/>
  <c r="AD221" i="1"/>
  <c r="V221" i="1"/>
  <c r="N221" i="1"/>
  <c r="F221" i="1"/>
  <c r="AQ220" i="1"/>
  <c r="AI220" i="1"/>
  <c r="AA220" i="1"/>
  <c r="S220" i="1"/>
  <c r="P246" i="1"/>
  <c r="AF244" i="1"/>
  <c r="M243" i="1"/>
  <c r="AM241" i="1"/>
  <c r="T240" i="1"/>
  <c r="E239" i="1"/>
  <c r="AD238" i="1"/>
  <c r="H238" i="1"/>
  <c r="AE237" i="1"/>
  <c r="O237" i="1"/>
  <c r="C237" i="1"/>
  <c r="AH236" i="1"/>
  <c r="V236" i="1"/>
  <c r="I236" i="1"/>
  <c r="AO235" i="1"/>
  <c r="AC235" i="1"/>
  <c r="O235" i="1"/>
  <c r="C235" i="1"/>
  <c r="AI234" i="1"/>
  <c r="V234" i="1"/>
  <c r="J234" i="1"/>
  <c r="AO233" i="1"/>
  <c r="AC233" i="1"/>
  <c r="P233" i="1"/>
  <c r="C233" i="1"/>
  <c r="AJ232" i="1"/>
  <c r="V232" i="1"/>
  <c r="J232" i="1"/>
  <c r="AP231" i="1"/>
  <c r="AC231" i="1"/>
  <c r="Q231" i="1"/>
  <c r="G231" i="1"/>
  <c r="AQ230" i="1"/>
  <c r="AH230" i="1"/>
  <c r="Y230" i="1"/>
  <c r="P230" i="1"/>
  <c r="G230" i="1"/>
  <c r="AQ229" i="1"/>
  <c r="AG229" i="1"/>
  <c r="X229" i="1"/>
  <c r="O229" i="1"/>
  <c r="F229" i="1"/>
  <c r="AP228" i="1"/>
  <c r="AG228" i="1"/>
  <c r="X228" i="1"/>
  <c r="N228" i="1"/>
  <c r="E228" i="1"/>
  <c r="AO227" i="1"/>
  <c r="AF227" i="1"/>
  <c r="W227" i="1"/>
  <c r="N227" i="1"/>
  <c r="E227" i="1"/>
  <c r="AN226" i="1"/>
  <c r="AE226" i="1"/>
  <c r="V226" i="1"/>
  <c r="M226" i="1"/>
  <c r="D226" i="1"/>
  <c r="AO225" i="1"/>
  <c r="AG225" i="1"/>
  <c r="Y225" i="1"/>
  <c r="Q225" i="1"/>
  <c r="I225" i="1"/>
  <c r="AT224" i="1"/>
  <c r="AL224" i="1"/>
  <c r="AD224" i="1"/>
  <c r="V224" i="1"/>
  <c r="N224" i="1"/>
  <c r="F224" i="1"/>
  <c r="AQ223" i="1"/>
  <c r="AI223" i="1"/>
  <c r="AA223" i="1"/>
  <c r="S223" i="1"/>
  <c r="K223" i="1"/>
  <c r="C223" i="1"/>
  <c r="AN222" i="1"/>
  <c r="AF222" i="1"/>
  <c r="X222" i="1"/>
  <c r="P222" i="1"/>
  <c r="H222" i="1"/>
  <c r="AS221" i="1"/>
  <c r="AK221" i="1"/>
  <c r="AC221" i="1"/>
  <c r="U221" i="1"/>
  <c r="M221" i="1"/>
  <c r="E221" i="1"/>
  <c r="AP220" i="1"/>
  <c r="AH220" i="1"/>
  <c r="AS245" i="1"/>
  <c r="X244" i="1"/>
  <c r="E243" i="1"/>
  <c r="AE241" i="1"/>
  <c r="L240" i="1"/>
  <c r="C239" i="1"/>
  <c r="Z238" i="1"/>
  <c r="F238" i="1"/>
  <c r="AC237" i="1"/>
  <c r="M237" i="1"/>
  <c r="AT236" i="1"/>
  <c r="AG236" i="1"/>
  <c r="T236" i="1"/>
  <c r="H236" i="1"/>
  <c r="AM235" i="1"/>
  <c r="AA235" i="1"/>
  <c r="N235" i="1"/>
  <c r="AT234" i="1"/>
  <c r="AH234" i="1"/>
  <c r="T234" i="1"/>
  <c r="H234" i="1"/>
  <c r="AN233" i="1"/>
  <c r="AA233" i="1"/>
  <c r="O233" i="1"/>
  <c r="AT232" i="1"/>
  <c r="AH232" i="1"/>
  <c r="U232" i="1"/>
  <c r="H232" i="1"/>
  <c r="AO231" i="1"/>
  <c r="AA231" i="1"/>
  <c r="O231" i="1"/>
  <c r="F231" i="1"/>
  <c r="AP230" i="1"/>
  <c r="AG230" i="1"/>
  <c r="X230" i="1"/>
  <c r="O230" i="1"/>
  <c r="F230" i="1"/>
  <c r="AO229" i="1"/>
  <c r="AF229" i="1"/>
  <c r="W229" i="1"/>
  <c r="N229" i="1"/>
  <c r="E229" i="1"/>
  <c r="AO228" i="1"/>
  <c r="AF228" i="1"/>
  <c r="V228" i="1"/>
  <c r="M228" i="1"/>
  <c r="D228" i="1"/>
  <c r="AN227" i="1"/>
  <c r="AE227" i="1"/>
  <c r="V227" i="1"/>
  <c r="M227" i="1"/>
  <c r="C227" i="1"/>
  <c r="AM226" i="1"/>
  <c r="AD226" i="1"/>
  <c r="U226" i="1"/>
  <c r="L226" i="1"/>
  <c r="C226" i="1"/>
  <c r="AN225" i="1"/>
  <c r="AI245" i="1"/>
  <c r="P244" i="1"/>
  <c r="AP242" i="1"/>
  <c r="W241" i="1"/>
  <c r="D240" i="1"/>
  <c r="AT238" i="1"/>
  <c r="X238" i="1"/>
  <c r="B238" i="1"/>
  <c r="AA237" i="1"/>
  <c r="L237" i="1"/>
  <c r="AR236" i="1"/>
  <c r="AF236" i="1"/>
  <c r="R236" i="1"/>
  <c r="F236" i="1"/>
  <c r="AL235" i="1"/>
  <c r="Y235" i="1"/>
  <c r="M235" i="1"/>
  <c r="AR234" i="1"/>
  <c r="AF234" i="1"/>
  <c r="S234" i="1"/>
  <c r="F234" i="1"/>
  <c r="AM233" i="1"/>
  <c r="Y233" i="1"/>
  <c r="M233" i="1"/>
  <c r="AS232" i="1"/>
  <c r="AF232" i="1"/>
  <c r="T232" i="1"/>
  <c r="F232" i="1"/>
  <c r="AM231" i="1"/>
  <c r="Z231" i="1"/>
  <c r="N231" i="1"/>
  <c r="E231" i="1"/>
  <c r="AO230" i="1"/>
  <c r="AF230" i="1"/>
  <c r="W230" i="1"/>
  <c r="N230" i="1"/>
  <c r="D230" i="1"/>
  <c r="AN229" i="1"/>
  <c r="AE229" i="1"/>
  <c r="V229" i="1"/>
  <c r="M229" i="1"/>
  <c r="D229" i="1"/>
  <c r="AN228" i="1"/>
  <c r="AD228" i="1"/>
  <c r="U228" i="1"/>
  <c r="L228" i="1"/>
  <c r="C228" i="1"/>
  <c r="AM227" i="1"/>
  <c r="AD227" i="1"/>
  <c r="U227" i="1"/>
  <c r="K227" i="1"/>
  <c r="B227" i="1"/>
  <c r="AL226" i="1"/>
  <c r="AC226" i="1"/>
  <c r="T226" i="1"/>
  <c r="K226" i="1"/>
  <c r="B226" i="1"/>
  <c r="AM225" i="1"/>
  <c r="AE225" i="1"/>
  <c r="W225" i="1"/>
  <c r="O225" i="1"/>
  <c r="G225" i="1"/>
  <c r="AR224" i="1"/>
  <c r="AJ224" i="1"/>
  <c r="AB224" i="1"/>
  <c r="T224" i="1"/>
  <c r="L224" i="1"/>
  <c r="D224" i="1"/>
  <c r="AO223" i="1"/>
  <c r="AG223" i="1"/>
  <c r="Y223" i="1"/>
  <c r="Q223" i="1"/>
  <c r="I223" i="1"/>
  <c r="AT222" i="1"/>
  <c r="AL222" i="1"/>
  <c r="AD222" i="1"/>
  <c r="V222" i="1"/>
  <c r="N222" i="1"/>
  <c r="F222" i="1"/>
  <c r="AQ221" i="1"/>
  <c r="AI221" i="1"/>
  <c r="AA221" i="1"/>
  <c r="S221" i="1"/>
  <c r="K221" i="1"/>
  <c r="C221" i="1"/>
  <c r="AN220" i="1"/>
  <c r="AF220" i="1"/>
  <c r="X220" i="1"/>
  <c r="P220" i="1"/>
  <c r="H220" i="1"/>
  <c r="AS219" i="1"/>
  <c r="AK219" i="1"/>
  <c r="AC219" i="1"/>
  <c r="U219" i="1"/>
  <c r="M219" i="1"/>
  <c r="E219" i="1"/>
  <c r="AP218" i="1"/>
  <c r="AH218" i="1"/>
  <c r="Z218" i="1"/>
  <c r="R218" i="1"/>
  <c r="J218" i="1"/>
  <c r="B218" i="1"/>
  <c r="AM217" i="1"/>
  <c r="AE217" i="1"/>
  <c r="W217" i="1"/>
  <c r="O217" i="1"/>
  <c r="G217" i="1"/>
  <c r="AR216" i="1"/>
  <c r="AJ216" i="1"/>
  <c r="AB216" i="1"/>
  <c r="T216" i="1"/>
  <c r="L216" i="1"/>
  <c r="D216" i="1"/>
  <c r="AA245" i="1"/>
  <c r="H244" i="1"/>
  <c r="AH242" i="1"/>
  <c r="O241" i="1"/>
  <c r="AO239" i="1"/>
  <c r="AP238" i="1"/>
  <c r="V238" i="1"/>
  <c r="AS237" i="1"/>
  <c r="W237" i="1"/>
  <c r="K237" i="1"/>
  <c r="AP236" i="1"/>
  <c r="AD236" i="1"/>
  <c r="Q236" i="1"/>
  <c r="D236" i="1"/>
  <c r="AK235" i="1"/>
  <c r="W235" i="1"/>
  <c r="K235" i="1"/>
  <c r="AQ234" i="1"/>
  <c r="AD234" i="1"/>
  <c r="R234" i="1"/>
  <c r="D234" i="1"/>
  <c r="AK233" i="1"/>
  <c r="X233" i="1"/>
  <c r="K233" i="1"/>
  <c r="AR232" i="1"/>
  <c r="AD232" i="1"/>
  <c r="R232" i="1"/>
  <c r="E232" i="1"/>
  <c r="AK231" i="1"/>
  <c r="Y231" i="1"/>
  <c r="M231" i="1"/>
  <c r="D231" i="1"/>
  <c r="AN230" i="1"/>
  <c r="AE230" i="1"/>
  <c r="V230" i="1"/>
  <c r="L230" i="1"/>
  <c r="C230" i="1"/>
  <c r="AM229" i="1"/>
  <c r="AD229" i="1"/>
  <c r="U229" i="1"/>
  <c r="L229" i="1"/>
  <c r="C229" i="1"/>
  <c r="AL228" i="1"/>
  <c r="AC228" i="1"/>
  <c r="T228" i="1"/>
  <c r="K228" i="1"/>
  <c r="B228" i="1"/>
  <c r="AL227" i="1"/>
  <c r="AC227" i="1"/>
  <c r="S227" i="1"/>
  <c r="J227" i="1"/>
  <c r="AT226" i="1"/>
  <c r="AK226" i="1"/>
  <c r="AB226" i="1"/>
  <c r="S226" i="1"/>
  <c r="J226" i="1"/>
  <c r="AT225" i="1"/>
  <c r="AL225" i="1"/>
  <c r="AD225" i="1"/>
  <c r="V225" i="1"/>
  <c r="N225" i="1"/>
  <c r="F225" i="1"/>
  <c r="AQ224" i="1"/>
  <c r="AI224" i="1"/>
  <c r="AA224" i="1"/>
  <c r="S224" i="1"/>
  <c r="K224" i="1"/>
  <c r="C224" i="1"/>
  <c r="AN223" i="1"/>
  <c r="AF223" i="1"/>
  <c r="X223" i="1"/>
  <c r="P223" i="1"/>
  <c r="H223" i="1"/>
  <c r="AS222" i="1"/>
  <c r="AK222" i="1"/>
  <c r="AC222" i="1"/>
  <c r="U222" i="1"/>
  <c r="M222" i="1"/>
  <c r="E222" i="1"/>
  <c r="AP221" i="1"/>
  <c r="AH221" i="1"/>
  <c r="Z221" i="1"/>
  <c r="R221" i="1"/>
  <c r="J221" i="1"/>
  <c r="B221" i="1"/>
  <c r="S245" i="1"/>
  <c r="AS243" i="1"/>
  <c r="Z242" i="1"/>
  <c r="G241" i="1"/>
  <c r="AG239" i="1"/>
  <c r="AN238" i="1"/>
  <c r="R238" i="1"/>
  <c r="AQ237" i="1"/>
  <c r="U237" i="1"/>
  <c r="I237" i="1"/>
  <c r="AO236" i="1"/>
  <c r="AB236" i="1"/>
  <c r="P236" i="1"/>
  <c r="B236" i="1"/>
  <c r="AI235" i="1"/>
  <c r="V235" i="1"/>
  <c r="I235" i="1"/>
  <c r="AP234" i="1"/>
  <c r="AB234" i="1"/>
  <c r="P234" i="1"/>
  <c r="C234" i="1"/>
  <c r="AI233" i="1"/>
  <c r="W233" i="1"/>
  <c r="I233" i="1"/>
  <c r="AP232" i="1"/>
  <c r="AC232" i="1"/>
  <c r="P232" i="1"/>
  <c r="D232" i="1"/>
  <c r="AI231" i="1"/>
  <c r="W231" i="1"/>
  <c r="L231" i="1"/>
  <c r="C231" i="1"/>
  <c r="AM230" i="1"/>
  <c r="AD230" i="1"/>
  <c r="T230" i="1"/>
  <c r="K230" i="1"/>
  <c r="B230" i="1"/>
  <c r="AL229" i="1"/>
  <c r="AC229" i="1"/>
  <c r="T229" i="1"/>
  <c r="K229" i="1"/>
  <c r="AT228" i="1"/>
  <c r="AK228" i="1"/>
  <c r="AB228" i="1"/>
  <c r="S228" i="1"/>
  <c r="J228" i="1"/>
  <c r="AT227" i="1"/>
  <c r="AK227" i="1"/>
  <c r="AA227" i="1"/>
  <c r="R227" i="1"/>
  <c r="I227" i="1"/>
  <c r="AS226" i="1"/>
  <c r="AJ226" i="1"/>
  <c r="AA226" i="1"/>
  <c r="R226" i="1"/>
  <c r="H226" i="1"/>
  <c r="AS225" i="1"/>
  <c r="AK225" i="1"/>
  <c r="AC225" i="1"/>
  <c r="U225" i="1"/>
  <c r="M225" i="1"/>
  <c r="E225" i="1"/>
  <c r="AP224" i="1"/>
  <c r="AH224" i="1"/>
  <c r="Z224" i="1"/>
  <c r="R224" i="1"/>
  <c r="J224" i="1"/>
  <c r="B224" i="1"/>
  <c r="AM223" i="1"/>
  <c r="AE223" i="1"/>
  <c r="W223" i="1"/>
  <c r="O223" i="1"/>
  <c r="G223" i="1"/>
  <c r="AR222" i="1"/>
  <c r="AJ222" i="1"/>
  <c r="AB222" i="1"/>
  <c r="T222" i="1"/>
  <c r="L222" i="1"/>
  <c r="D222" i="1"/>
  <c r="AO221" i="1"/>
  <c r="AG221" i="1"/>
  <c r="Y221" i="1"/>
  <c r="Q221" i="1"/>
  <c r="I221" i="1"/>
  <c r="AT220" i="1"/>
  <c r="AL220" i="1"/>
  <c r="AD220" i="1"/>
  <c r="K245" i="1"/>
  <c r="AK243" i="1"/>
  <c r="R242" i="1"/>
  <c r="AR240" i="1"/>
  <c r="Y239" i="1"/>
  <c r="AL238" i="1"/>
  <c r="P238" i="1"/>
  <c r="AM237" i="1"/>
  <c r="T237" i="1"/>
  <c r="G237" i="1"/>
  <c r="AN236" i="1"/>
  <c r="Z236" i="1"/>
  <c r="N236" i="1"/>
  <c r="AT235" i="1"/>
  <c r="AG235" i="1"/>
  <c r="U235" i="1"/>
  <c r="G235" i="1"/>
  <c r="AN234" i="1"/>
  <c r="AA234" i="1"/>
  <c r="N234" i="1"/>
  <c r="B234" i="1"/>
  <c r="AG233" i="1"/>
  <c r="U233" i="1"/>
  <c r="H233" i="1"/>
  <c r="AN232" i="1"/>
  <c r="AB232" i="1"/>
  <c r="N232" i="1"/>
  <c r="B232" i="1"/>
  <c r="AH231" i="1"/>
  <c r="U231" i="1"/>
  <c r="K231" i="1"/>
  <c r="B231" i="1"/>
  <c r="AL230" i="1"/>
  <c r="AB230" i="1"/>
  <c r="S230" i="1"/>
  <c r="J230" i="1"/>
  <c r="AT229" i="1"/>
  <c r="AK229" i="1"/>
  <c r="AB229" i="1"/>
  <c r="S229" i="1"/>
  <c r="I229" i="1"/>
  <c r="AS228" i="1"/>
  <c r="AJ228" i="1"/>
  <c r="AA228" i="1"/>
  <c r="R228" i="1"/>
  <c r="I228" i="1"/>
  <c r="AS227" i="1"/>
  <c r="AI227" i="1"/>
  <c r="Z227" i="1"/>
  <c r="Q227" i="1"/>
  <c r="H227" i="1"/>
  <c r="AR226" i="1"/>
  <c r="AI226" i="1"/>
  <c r="Z226" i="1"/>
  <c r="P226" i="1"/>
  <c r="G226" i="1"/>
  <c r="AR225" i="1"/>
  <c r="AJ225" i="1"/>
  <c r="C245" i="1"/>
  <c r="AC243" i="1"/>
  <c r="J242" i="1"/>
  <c r="AJ240" i="1"/>
  <c r="Q239" i="1"/>
  <c r="AH238" i="1"/>
  <c r="N238" i="1"/>
  <c r="AK237" i="1"/>
  <c r="S237" i="1"/>
  <c r="E237" i="1"/>
  <c r="AL236" i="1"/>
  <c r="Y236" i="1"/>
  <c r="L236" i="1"/>
  <c r="AS235" i="1"/>
  <c r="AE235" i="1"/>
  <c r="S235" i="1"/>
  <c r="F235" i="1"/>
  <c r="AL234" i="1"/>
  <c r="Z234" i="1"/>
  <c r="L234" i="1"/>
  <c r="AS233" i="1"/>
  <c r="AF233" i="1"/>
  <c r="S233" i="1"/>
  <c r="G233" i="1"/>
  <c r="AL232" i="1"/>
  <c r="Z232" i="1"/>
  <c r="M232" i="1"/>
  <c r="AS231" i="1"/>
  <c r="AG231" i="1"/>
  <c r="S231" i="1"/>
  <c r="J231" i="1"/>
  <c r="AT230" i="1"/>
  <c r="AJ230" i="1"/>
  <c r="AA230" i="1"/>
  <c r="R230" i="1"/>
  <c r="I230" i="1"/>
  <c r="AS229" i="1"/>
  <c r="AJ229" i="1"/>
  <c r="AA229" i="1"/>
  <c r="Q229" i="1"/>
  <c r="H229" i="1"/>
  <c r="AR228" i="1"/>
  <c r="AI228" i="1"/>
  <c r="Z228" i="1"/>
  <c r="Q228" i="1"/>
  <c r="H228" i="1"/>
  <c r="AQ227" i="1"/>
  <c r="AH227" i="1"/>
  <c r="Y227" i="1"/>
  <c r="P227" i="1"/>
  <c r="G227" i="1"/>
  <c r="AQ226" i="1"/>
  <c r="AH226" i="1"/>
  <c r="X226" i="1"/>
  <c r="O226" i="1"/>
  <c r="F226" i="1"/>
  <c r="AQ225" i="1"/>
  <c r="AI225" i="1"/>
  <c r="AA225" i="1"/>
  <c r="S225" i="1"/>
  <c r="K225" i="1"/>
  <c r="C225" i="1"/>
  <c r="AN224" i="1"/>
  <c r="AF224" i="1"/>
  <c r="X224" i="1"/>
  <c r="P224" i="1"/>
  <c r="H224" i="1"/>
  <c r="AS223" i="1"/>
  <c r="AK223" i="1"/>
  <c r="AC223" i="1"/>
  <c r="U223" i="1"/>
  <c r="M223" i="1"/>
  <c r="E223" i="1"/>
  <c r="AP222" i="1"/>
  <c r="AH222" i="1"/>
  <c r="Z222" i="1"/>
  <c r="R222" i="1"/>
  <c r="J222" i="1"/>
  <c r="B222" i="1"/>
  <c r="AM221" i="1"/>
  <c r="AE221" i="1"/>
  <c r="W221" i="1"/>
  <c r="O221" i="1"/>
  <c r="G221" i="1"/>
  <c r="AR220" i="1"/>
  <c r="AJ220" i="1"/>
  <c r="AB220" i="1"/>
  <c r="T220" i="1"/>
  <c r="L220" i="1"/>
  <c r="D220" i="1"/>
  <c r="AO219" i="1"/>
  <c r="AG219" i="1"/>
  <c r="Y219" i="1"/>
  <c r="Q219" i="1"/>
  <c r="I219" i="1"/>
  <c r="AT218" i="1"/>
  <c r="AL218" i="1"/>
  <c r="AD218" i="1"/>
  <c r="V218" i="1"/>
  <c r="N218" i="1"/>
  <c r="F218" i="1"/>
  <c r="AQ217" i="1"/>
  <c r="AI217" i="1"/>
  <c r="AA217" i="1"/>
  <c r="S217" i="1"/>
  <c r="K217" i="1"/>
  <c r="C217" i="1"/>
  <c r="AN216" i="1"/>
  <c r="AF216" i="1"/>
  <c r="X216" i="1"/>
  <c r="P216" i="1"/>
  <c r="H216" i="1"/>
  <c r="AF225" i="1"/>
  <c r="AS224" i="1"/>
  <c r="M224" i="1"/>
  <c r="Z223" i="1"/>
  <c r="AM222" i="1"/>
  <c r="G222" i="1"/>
  <c r="T221" i="1"/>
  <c r="AK220" i="1"/>
  <c r="U220" i="1"/>
  <c r="I220" i="1"/>
  <c r="AQ219" i="1"/>
  <c r="AF219" i="1"/>
  <c r="V219" i="1"/>
  <c r="K219" i="1"/>
  <c r="AS218" i="1"/>
  <c r="AI218" i="1"/>
  <c r="X218" i="1"/>
  <c r="M218" i="1"/>
  <c r="C218" i="1"/>
  <c r="AK217" i="1"/>
  <c r="Z217" i="1"/>
  <c r="P217" i="1"/>
  <c r="E217" i="1"/>
  <c r="AM216" i="1"/>
  <c r="AC216" i="1"/>
  <c r="R216" i="1"/>
  <c r="G216" i="1"/>
  <c r="AB225" i="1"/>
  <c r="AO224" i="1"/>
  <c r="I224" i="1"/>
  <c r="V223" i="1"/>
  <c r="AI222" i="1"/>
  <c r="C222" i="1"/>
  <c r="P221" i="1"/>
  <c r="AG220" i="1"/>
  <c r="R220" i="1"/>
  <c r="G220" i="1"/>
  <c r="AP219" i="1"/>
  <c r="AE219" i="1"/>
  <c r="T219" i="1"/>
  <c r="J219" i="1"/>
  <c r="AR218" i="1"/>
  <c r="AG218" i="1"/>
  <c r="W218" i="1"/>
  <c r="L218" i="1"/>
  <c r="AT217" i="1"/>
  <c r="AJ217" i="1"/>
  <c r="Y217" i="1"/>
  <c r="N217" i="1"/>
  <c r="D217" i="1"/>
  <c r="AL216" i="1"/>
  <c r="AA216" i="1"/>
  <c r="Q216" i="1"/>
  <c r="F216" i="1"/>
  <c r="X225" i="1"/>
  <c r="AK224" i="1"/>
  <c r="E224" i="1"/>
  <c r="R223" i="1"/>
  <c r="AE222" i="1"/>
  <c r="AR221" i="1"/>
  <c r="L221" i="1"/>
  <c r="AE220" i="1"/>
  <c r="Q220" i="1"/>
  <c r="F220" i="1"/>
  <c r="AN219" i="1"/>
  <c r="AD219" i="1"/>
  <c r="S219" i="1"/>
  <c r="H219" i="1"/>
  <c r="AQ218" i="1"/>
  <c r="AF218" i="1"/>
  <c r="U218" i="1"/>
  <c r="K218" i="1"/>
  <c r="AS217" i="1"/>
  <c r="AH217" i="1"/>
  <c r="X217" i="1"/>
  <c r="M217" i="1"/>
  <c r="B217" i="1"/>
  <c r="AK216" i="1"/>
  <c r="Z216" i="1"/>
  <c r="O216" i="1"/>
  <c r="E216" i="1"/>
  <c r="T225" i="1"/>
  <c r="AG224" i="1"/>
  <c r="AT223" i="1"/>
  <c r="N223" i="1"/>
  <c r="AA222" i="1"/>
  <c r="AN221" i="1"/>
  <c r="H221" i="1"/>
  <c r="AC220" i="1"/>
  <c r="O220" i="1"/>
  <c r="E220" i="1"/>
  <c r="AM219" i="1"/>
  <c r="AB219" i="1"/>
  <c r="R219" i="1"/>
  <c r="G219" i="1"/>
  <c r="AO218" i="1"/>
  <c r="AE218" i="1"/>
  <c r="T218" i="1"/>
  <c r="I218" i="1"/>
  <c r="AR217" i="1"/>
  <c r="AG217" i="1"/>
  <c r="V217" i="1"/>
  <c r="L217" i="1"/>
  <c r="AT216" i="1"/>
  <c r="AI216" i="1"/>
  <c r="Y216" i="1"/>
  <c r="N216" i="1"/>
  <c r="C216" i="1"/>
  <c r="P225" i="1"/>
  <c r="AC224" i="1"/>
  <c r="AP223" i="1"/>
  <c r="J223" i="1"/>
  <c r="W222" i="1"/>
  <c r="AJ221" i="1"/>
  <c r="D221" i="1"/>
  <c r="Z220" i="1"/>
  <c r="N220" i="1"/>
  <c r="C220" i="1"/>
  <c r="AL219" i="1"/>
  <c r="AA219" i="1"/>
  <c r="P219" i="1"/>
  <c r="F219" i="1"/>
  <c r="AN218" i="1"/>
  <c r="AC218" i="1"/>
  <c r="S218" i="1"/>
  <c r="H218" i="1"/>
  <c r="AP217" i="1"/>
  <c r="AF217" i="1"/>
  <c r="U217" i="1"/>
  <c r="J217" i="1"/>
  <c r="AS216" i="1"/>
  <c r="AH216" i="1"/>
  <c r="W216" i="1"/>
  <c r="M216" i="1"/>
  <c r="B216" i="1"/>
  <c r="L225" i="1"/>
  <c r="Y224" i="1"/>
  <c r="AL223" i="1"/>
  <c r="F223" i="1"/>
  <c r="S222" i="1"/>
  <c r="AF221" i="1"/>
  <c r="AS220" i="1"/>
  <c r="Y220" i="1"/>
  <c r="M220" i="1"/>
  <c r="B220" i="1"/>
  <c r="AJ219" i="1"/>
  <c r="Z219" i="1"/>
  <c r="O219" i="1"/>
  <c r="D219" i="1"/>
  <c r="AM218" i="1"/>
  <c r="AB218" i="1"/>
  <c r="Q218" i="1"/>
  <c r="G218" i="1"/>
  <c r="AO217" i="1"/>
  <c r="AD217" i="1"/>
  <c r="T217" i="1"/>
  <c r="I217" i="1"/>
  <c r="AQ216" i="1"/>
  <c r="AG216" i="1"/>
  <c r="V216" i="1"/>
  <c r="K216" i="1"/>
  <c r="H225" i="1"/>
  <c r="U224" i="1"/>
  <c r="AH223" i="1"/>
  <c r="B223" i="1"/>
  <c r="O222" i="1"/>
  <c r="AB221" i="1"/>
  <c r="AO220" i="1"/>
  <c r="W220" i="1"/>
  <c r="K220" i="1"/>
  <c r="AT219" i="1"/>
  <c r="AI219" i="1"/>
  <c r="X219" i="1"/>
  <c r="N219" i="1"/>
  <c r="C219" i="1"/>
  <c r="AK218" i="1"/>
  <c r="AA218" i="1"/>
  <c r="P218" i="1"/>
  <c r="E218" i="1"/>
  <c r="AN217" i="1"/>
  <c r="AC217" i="1"/>
  <c r="R217" i="1"/>
  <c r="H217" i="1"/>
  <c r="AP216" i="1"/>
  <c r="AE216" i="1"/>
  <c r="U216" i="1"/>
  <c r="J216" i="1"/>
  <c r="D225" i="1"/>
  <c r="Q224" i="1"/>
  <c r="AD223" i="1"/>
  <c r="AQ222" i="1"/>
  <c r="K222" i="1"/>
  <c r="X221" i="1"/>
  <c r="AM220" i="1"/>
  <c r="V220" i="1"/>
  <c r="J220" i="1"/>
  <c r="AR219" i="1"/>
  <c r="AH219" i="1"/>
  <c r="W219" i="1"/>
  <c r="L219" i="1"/>
  <c r="B219" i="1"/>
  <c r="AJ218" i="1"/>
  <c r="Y218" i="1"/>
  <c r="O218" i="1"/>
  <c r="D218" i="1"/>
  <c r="AL217" i="1"/>
  <c r="AB217" i="1"/>
  <c r="Q217" i="1"/>
  <c r="F217" i="1"/>
  <c r="AO216" i="1"/>
  <c r="AD216" i="1"/>
  <c r="S216" i="1"/>
  <c r="I216" i="1"/>
  <c r="BG230" i="1" l="1"/>
  <c r="BG244" i="1"/>
  <c r="BG216" i="1"/>
  <c r="BG222" i="1"/>
  <c r="BG234" i="1"/>
  <c r="BG224" i="1"/>
  <c r="BG221" i="1"/>
  <c r="BG218" i="1"/>
  <c r="BG242" i="1"/>
  <c r="BG229" i="1"/>
  <c r="BG243" i="1"/>
  <c r="BG247" i="1"/>
  <c r="BG252" i="1"/>
  <c r="BG249" i="1"/>
  <c r="BG254" i="1"/>
  <c r="BG231" i="1"/>
  <c r="BG232" i="1"/>
  <c r="BG226" i="1"/>
  <c r="BG225" i="1"/>
  <c r="BG237" i="1"/>
  <c r="BG246" i="1"/>
  <c r="BG258" i="1"/>
  <c r="BG255" i="1"/>
  <c r="BG260" i="1"/>
  <c r="BG257" i="1"/>
  <c r="BG251" i="1"/>
  <c r="BG248" i="1"/>
  <c r="BG241" i="1"/>
  <c r="BG235" i="1"/>
  <c r="BG253" i="1"/>
  <c r="BG250" i="1"/>
  <c r="BG219" i="1"/>
  <c r="BG223" i="1"/>
  <c r="BG220" i="1"/>
  <c r="BG217" i="1"/>
  <c r="BG236" i="1"/>
  <c r="BG228" i="1"/>
  <c r="BG227" i="1"/>
  <c r="BG238" i="1"/>
  <c r="BG245" i="1"/>
  <c r="BG239" i="1"/>
  <c r="BD239" i="1"/>
  <c r="BG233" i="1"/>
  <c r="BD240" i="1"/>
  <c r="BG240" i="1"/>
  <c r="BG259" i="1"/>
  <c r="BD256" i="1"/>
  <c r="BG256" i="1"/>
  <c r="AY216" i="1" a="1"/>
  <c r="AY216" i="1" s="1"/>
  <c r="AY261" i="1" s="1"/>
  <c r="BD223" i="1" l="1"/>
  <c r="BD248" i="1"/>
  <c r="BD252" i="1"/>
  <c r="BD233" i="1"/>
  <c r="BD253" i="1"/>
  <c r="BD241" i="1"/>
  <c r="BD258" i="1"/>
  <c r="BD237" i="1"/>
  <c r="BD226" i="1"/>
  <c r="BD249" i="1"/>
  <c r="BD229" i="1"/>
  <c r="BD222" i="1"/>
  <c r="BD244" i="1"/>
  <c r="BD228" i="1"/>
  <c r="BD235" i="1"/>
  <c r="BD232" i="1"/>
  <c r="BD259" i="1"/>
  <c r="BD245" i="1"/>
  <c r="BD227" i="1"/>
  <c r="BD236" i="1"/>
  <c r="BD251" i="1"/>
  <c r="BD260" i="1"/>
  <c r="BD231" i="1"/>
  <c r="BD247" i="1"/>
  <c r="BD224" i="1"/>
  <c r="BD230" i="1"/>
  <c r="BD238" i="1"/>
  <c r="BD250" i="1"/>
  <c r="BD257" i="1"/>
  <c r="BD255" i="1"/>
  <c r="BD246" i="1"/>
  <c r="BD225" i="1"/>
  <c r="BD254" i="1"/>
  <c r="BD243" i="1"/>
  <c r="BD242" i="1"/>
  <c r="BD216" i="1"/>
  <c r="BD219" i="1"/>
  <c r="BD220" i="1"/>
  <c r="BD217" i="1"/>
  <c r="BD218" i="1"/>
  <c r="BD221" i="1"/>
  <c r="BD234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<sst xmlns="http://schemas.openxmlformats.org/spreadsheetml/2006/main" count="470" uniqueCount="105">
  <si>
    <t>To industry / sector</t>
  </si>
  <si>
    <t>D01T02: Agriculture, hunting, forestry</t>
  </si>
  <si>
    <t>D03: Fishing and aquaculture</t>
  </si>
  <si>
    <t>D05T06: Mining and quarrying, energy producing products</t>
  </si>
  <si>
    <t>D07T08: Mining and quarrying, non-energy producing products</t>
  </si>
  <si>
    <t>D09: Mining support service activities</t>
  </si>
  <si>
    <t>D10T12: Food products, beverages and tobacco</t>
  </si>
  <si>
    <t>D13T15: Textiles, textile products, leather and footwear</t>
  </si>
  <si>
    <t>D16: Wood and products of wood and cork</t>
  </si>
  <si>
    <t>D17T18: Paper products and printing</t>
  </si>
  <si>
    <t>D19: Coke and refined petroleum products</t>
  </si>
  <si>
    <t>D20: Chemical and chemical products</t>
  </si>
  <si>
    <t>D21: Pharmaceuticals, medicinal chemical and botanical products</t>
  </si>
  <si>
    <t>D22: Rubber and plastics products</t>
  </si>
  <si>
    <t>D23: Other non-metallic mineral products</t>
  </si>
  <si>
    <t>D24: Basic metals</t>
  </si>
  <si>
    <t>D25: Fabricated metal products</t>
  </si>
  <si>
    <t>D26: Computer, electronic and optical equipment</t>
  </si>
  <si>
    <t>D27: Electrical equipment</t>
  </si>
  <si>
    <t>D28: Machinery and equipment, nec</t>
  </si>
  <si>
    <t>D29: Motor vehicles, trailers and semi-trailers</t>
  </si>
  <si>
    <t>D30: Other transport equipment</t>
  </si>
  <si>
    <t>D31T33: Manufacturing nec; repair and installation of machinery and equipment</t>
  </si>
  <si>
    <t>D35: Electricity, gas, steam and air conditioning supply</t>
  </si>
  <si>
    <t>D36T39: Water supply; sewerage, waste management and remediation activities</t>
  </si>
  <si>
    <t>D41T43: Construction</t>
  </si>
  <si>
    <t>D45T47: Wholesale and retail trade; repair of motor vehicles</t>
  </si>
  <si>
    <t>D49: Land transport and transport via pipelines</t>
  </si>
  <si>
    <t>D50: Water transport</t>
  </si>
  <si>
    <t>D51: Air transport</t>
  </si>
  <si>
    <t>D52: Warehousing and support activities for transportation</t>
  </si>
  <si>
    <t>D53: Postal and courier activities</t>
  </si>
  <si>
    <t>D55T56: Accommodation and food service activities</t>
  </si>
  <si>
    <t>D58T60: Publishing, audiovisual and broadcasting activities</t>
  </si>
  <si>
    <t>D61: Telecommunications</t>
  </si>
  <si>
    <t>D62T63: IT and other information services</t>
  </si>
  <si>
    <t>D64T66: Financial and insurance activities</t>
  </si>
  <si>
    <t>D68: Real estate activities</t>
  </si>
  <si>
    <t>D69T75: Professional, scientific and technical activities</t>
  </si>
  <si>
    <t>D77T82: Administrative and support services</t>
  </si>
  <si>
    <t>D84: Public administration and defence; compulsory social security</t>
  </si>
  <si>
    <t>D85: Education</t>
  </si>
  <si>
    <t>D86T88: Human health and social work activities</t>
  </si>
  <si>
    <t>D90T93: Arts, entertainment and recreation</t>
  </si>
  <si>
    <t>D94T96: Other service activities</t>
  </si>
  <si>
    <t>D97T98: Activities of households as employers; undifferentiated goods- and services-producing activities of households for own use</t>
  </si>
  <si>
    <t>TTL_01T02: Agriculture, hunting, forestry</t>
  </si>
  <si>
    <t>TTL_03: Fishing and aquaculture</t>
  </si>
  <si>
    <t>TTL_05T06: Mining and quarrying, energy producing products</t>
  </si>
  <si>
    <t>TTL_07T08: Mining and quarrying, non-energy producing products</t>
  </si>
  <si>
    <t>TTL_09: Mining support service activities</t>
  </si>
  <si>
    <t>TTL_10T12: Food products, beverages and tobacco</t>
  </si>
  <si>
    <t>TTL_13T15: Textiles, textile products, leather and footwear</t>
  </si>
  <si>
    <t>TTL_16: Wood and products of wood and cork</t>
  </si>
  <si>
    <t>TTL_17T18: Paper products and printing</t>
  </si>
  <si>
    <t>TTL_19: Coke and refined petroleum products</t>
  </si>
  <si>
    <t>TTL_20: Chemical and chemical products</t>
  </si>
  <si>
    <t>TTL_21: Pharmaceuticals, medicinal chemical and botanical products</t>
  </si>
  <si>
    <t>TTL_22: Rubber and plastics products</t>
  </si>
  <si>
    <t>TTL_23: Other non-metallic mineral products</t>
  </si>
  <si>
    <t>TTL_24: Basic metals</t>
  </si>
  <si>
    <t>TTL_25: Fabricated metal products</t>
  </si>
  <si>
    <t>TTL_26: Computer, electronic and optical equipment</t>
  </si>
  <si>
    <t>TTL_27: Electrical equipment</t>
  </si>
  <si>
    <t>TTL_28: Machinery and equipment, nec</t>
  </si>
  <si>
    <t>TTL_29: Motor vehicles, trailers and semi-trailers</t>
  </si>
  <si>
    <t>TTL_30: Other transport equipment</t>
  </si>
  <si>
    <t>TTL_31T33: Manufacturing nec; repair and installation of machinery and equipment</t>
  </si>
  <si>
    <t>TTL_35: Electricity, gas, steam and air conditioning supply</t>
  </si>
  <si>
    <t>TTL_36T39: Water supply; sewerage, waste management and remediation activities</t>
  </si>
  <si>
    <t>TTL_41T43: Construction</t>
  </si>
  <si>
    <t>TTL_45T47: Wholesale and retail trade; repair of motor vehicles</t>
  </si>
  <si>
    <t>TTL_49: Land transport and transport via pipelines</t>
  </si>
  <si>
    <t>TTL_50: Water transport</t>
  </si>
  <si>
    <t>TTL_51: Air transport</t>
  </si>
  <si>
    <t>TTL_52: Warehousing and support activities for transportation</t>
  </si>
  <si>
    <t>TTL_53: Postal and courier activities</t>
  </si>
  <si>
    <t>TTL_55T56: Accommodation and food service activities</t>
  </si>
  <si>
    <t>TTL_58T60: Publishing, audiovisual and broadcasting activities</t>
  </si>
  <si>
    <t>TTL_61: Telecommunications</t>
  </si>
  <si>
    <t>TTL_62T63: IT and other information services</t>
  </si>
  <si>
    <t>TTL_64T66: Financial and insurance activities</t>
  </si>
  <si>
    <t>TTL_68: Real estate activities</t>
  </si>
  <si>
    <t>TTL_69T75: Professional, scientific and technical activities</t>
  </si>
  <si>
    <t>TTL_77T82: Administrative and support services</t>
  </si>
  <si>
    <t>TTL_84: Public administration and defence; compulsory social security</t>
  </si>
  <si>
    <t>TTL_85: Education</t>
  </si>
  <si>
    <t>TTL_86T88: Human health and social work activities</t>
  </si>
  <si>
    <t>TTL_90T93: Arts, entertainment and recreation</t>
  </si>
  <si>
    <t>TTL_94T96: Other service activities</t>
  </si>
  <si>
    <t>TTL_97T98: Activities of households as employers; undifferentiated goods- and services-producing activities of households for own use</t>
  </si>
  <si>
    <t>TXS_IMP_FNL: Taxes less subsidies on intermediate and final products (paid in foreign countries)</t>
  </si>
  <si>
    <t>TXS_INT_FNL: Taxes less subsidies on intermediate and final products (paid in domestic agencies, includes duty on imported products)</t>
  </si>
  <si>
    <t>TTL_INT_FNL: Total intermediate consumption at purchasers’ prices</t>
  </si>
  <si>
    <t>VALU: Value added at basic prices</t>
  </si>
  <si>
    <t>OUTPUT: Output at basic prices</t>
  </si>
  <si>
    <t xml:space="preserve">matrice identité </t>
  </si>
  <si>
    <t>I-A</t>
  </si>
  <si>
    <t>inverse (I-A)</t>
  </si>
  <si>
    <t xml:space="preserve">simulation demamde </t>
  </si>
  <si>
    <t>resultat simulation</t>
  </si>
  <si>
    <t>effet amont</t>
  </si>
  <si>
    <t>effet aval</t>
  </si>
  <si>
    <t>sdt eff amont</t>
  </si>
  <si>
    <t>sdt eff aval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</si>
</sst>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_ ;\-#,##0.000\ "/>
    <numFmt numFmtId="171" formatCode="0.000"/>
  </numFmts>
  <fonts count="8" x14ac:knownFonts="1">
    <font>
      <sz val="10"/>
      <name val="Arial"/>
      <family val="2"/>
    </font>
    <font>
      <b/>
      <sz val="8"/>
      <color indexed="9"/>
      <name val="Verdana"/>
      <family val="2"/>
    </font>
    <font>
      <sz val="8"/>
      <color indexed="9"/>
      <name val="Verdana"/>
      <family val="2"/>
    </font>
    <font>
      <sz val="8"/>
      <name val="Verdana"/>
      <family val="2"/>
    </font>
    <font>
      <sz val="8"/>
      <name val="Arial"/>
      <family val="2"/>
    </font>
    <font>
      <b/>
      <sz val="14"/>
      <color indexed="9"/>
      <name val="Verdana"/>
      <family val="2"/>
    </font>
    <font>
      <b/>
      <sz val="20"/>
      <color indexed="9"/>
      <name val="Verdana"/>
      <family val="2"/>
    </font>
    <font>
      <b/>
      <sz val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0A1E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0F8FF"/>
        <bgColor indexed="64"/>
      </patternFill>
    </fill>
    <fill>
      <patternFill patternType="solid">
        <fgColor rgb="FFC4D8E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/>
      <diagonal/>
    </border>
    <border>
      <left style="medium">
        <color indexed="64"/>
      </left>
      <right style="thin">
        <color rgb="FFC0C0C0"/>
      </right>
      <top style="medium">
        <color indexed="64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medium">
        <color indexed="64"/>
      </top>
      <bottom style="thin">
        <color rgb="FFC0C0C0"/>
      </bottom>
      <diagonal/>
    </border>
    <border>
      <left style="thin">
        <color rgb="FFC0C0C0"/>
      </left>
      <right style="medium">
        <color indexed="64"/>
      </right>
      <top style="medium">
        <color indexed="64"/>
      </top>
      <bottom style="thin">
        <color rgb="FFC0C0C0"/>
      </bottom>
      <diagonal/>
    </border>
    <border>
      <left style="medium">
        <color indexed="64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medium">
        <color indexed="64"/>
      </right>
      <top style="thin">
        <color rgb="FFC0C0C0"/>
      </top>
      <bottom style="thin">
        <color rgb="FFC0C0C0"/>
      </bottom>
      <diagonal/>
    </border>
    <border>
      <left style="medium">
        <color indexed="64"/>
      </left>
      <right style="thin">
        <color rgb="FFC0C0C0"/>
      </right>
      <top style="thin">
        <color rgb="FFC0C0C0"/>
      </top>
      <bottom style="medium">
        <color indexed="64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medium">
        <color indexed="64"/>
      </bottom>
      <diagonal/>
    </border>
    <border>
      <left style="thin">
        <color rgb="FFC0C0C0"/>
      </left>
      <right style="medium">
        <color indexed="64"/>
      </right>
      <top style="thin">
        <color rgb="FFC0C0C0"/>
      </top>
      <bottom style="medium">
        <color indexed="64"/>
      </bottom>
      <diagonal/>
    </border>
    <border>
      <left style="thin">
        <color rgb="FFC0C0C0"/>
      </left>
      <right/>
      <top style="thin">
        <color rgb="FFC0C0C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center"/>
    </xf>
    <xf numFmtId="164" fontId="4" fillId="0" borderId="2" xfId="0" applyNumberFormat="1" applyFont="1" applyBorder="1" applyAlignment="1">
      <alignment horizontal="center" wrapText="1"/>
    </xf>
    <xf numFmtId="164" fontId="4" fillId="4" borderId="2" xfId="0" applyNumberFormat="1" applyFont="1" applyFill="1" applyBorder="1" applyAlignment="1">
      <alignment horizontal="center" wrapText="1"/>
    </xf>
    <xf numFmtId="0" fontId="3" fillId="3" borderId="3" xfId="0" applyFont="1" applyFill="1" applyBorder="1" applyAlignment="1">
      <alignment horizontal="center"/>
    </xf>
    <xf numFmtId="164" fontId="4" fillId="0" borderId="3" xfId="0" applyNumberFormat="1" applyFont="1" applyBorder="1" applyAlignment="1">
      <alignment horizontal="center" wrapText="1"/>
    </xf>
    <xf numFmtId="0" fontId="3" fillId="5" borderId="4" xfId="0" applyFont="1" applyFill="1" applyBorder="1" applyAlignment="1">
      <alignment horizontal="center"/>
    </xf>
    <xf numFmtId="164" fontId="4" fillId="4" borderId="5" xfId="0" applyNumberFormat="1" applyFont="1" applyFill="1" applyBorder="1" applyAlignment="1">
      <alignment horizontal="center" wrapText="1"/>
    </xf>
    <xf numFmtId="164" fontId="4" fillId="4" borderId="6" xfId="0" applyNumberFormat="1" applyFont="1" applyFill="1" applyBorder="1" applyAlignment="1">
      <alignment horizontal="center" wrapText="1"/>
    </xf>
    <xf numFmtId="0" fontId="3" fillId="5" borderId="7" xfId="0" applyFont="1" applyFill="1" applyBorder="1" applyAlignment="1">
      <alignment horizontal="center"/>
    </xf>
    <xf numFmtId="164" fontId="4" fillId="0" borderId="8" xfId="0" applyNumberFormat="1" applyFont="1" applyBorder="1" applyAlignment="1">
      <alignment horizontal="center" wrapText="1"/>
    </xf>
    <xf numFmtId="164" fontId="4" fillId="4" borderId="8" xfId="0" applyNumberFormat="1" applyFont="1" applyFill="1" applyBorder="1" applyAlignment="1">
      <alignment horizontal="center" wrapText="1"/>
    </xf>
    <xf numFmtId="0" fontId="3" fillId="5" borderId="9" xfId="0" applyFont="1" applyFill="1" applyBorder="1" applyAlignment="1">
      <alignment horizontal="center"/>
    </xf>
    <xf numFmtId="164" fontId="4" fillId="4" borderId="10" xfId="0" applyNumberFormat="1" applyFont="1" applyFill="1" applyBorder="1" applyAlignment="1">
      <alignment horizontal="center" wrapText="1"/>
    </xf>
    <xf numFmtId="164" fontId="4" fillId="4" borderId="11" xfId="0" applyNumberFormat="1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/>
    </xf>
    <xf numFmtId="164" fontId="4" fillId="0" borderId="4" xfId="0" applyNumberFormat="1" applyFont="1" applyBorder="1" applyAlignment="1">
      <alignment horizontal="center" wrapText="1"/>
    </xf>
    <xf numFmtId="164" fontId="4" fillId="0" borderId="5" xfId="0" applyNumberFormat="1" applyFont="1" applyBorder="1" applyAlignment="1">
      <alignment horizontal="center" wrapText="1"/>
    </xf>
    <xf numFmtId="164" fontId="4" fillId="0" borderId="6" xfId="0" applyNumberFormat="1" applyFont="1" applyBorder="1" applyAlignment="1">
      <alignment horizontal="center" wrapText="1"/>
    </xf>
    <xf numFmtId="164" fontId="4" fillId="0" borderId="7" xfId="0" applyNumberFormat="1" applyFont="1" applyBorder="1" applyAlignment="1">
      <alignment horizontal="center" wrapText="1"/>
    </xf>
    <xf numFmtId="0" fontId="3" fillId="3" borderId="12" xfId="0" applyFont="1" applyFill="1" applyBorder="1" applyAlignment="1">
      <alignment horizontal="center"/>
    </xf>
    <xf numFmtId="164" fontId="4" fillId="0" borderId="9" xfId="0" applyNumberFormat="1" applyFont="1" applyBorder="1" applyAlignment="1">
      <alignment horizontal="center" wrapText="1"/>
    </xf>
    <xf numFmtId="164" fontId="4" fillId="0" borderId="10" xfId="0" applyNumberFormat="1" applyFont="1" applyBorder="1" applyAlignment="1">
      <alignment horizontal="center" wrapText="1"/>
    </xf>
    <xf numFmtId="164" fontId="4" fillId="0" borderId="11" xfId="0" applyNumberFormat="1" applyFont="1" applyBorder="1" applyAlignment="1">
      <alignment horizontal="center" wrapText="1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64" fontId="7" fillId="0" borderId="4" xfId="0" applyNumberFormat="1" applyFont="1" applyBorder="1" applyAlignment="1">
      <alignment horizontal="center" vertical="center" wrapText="1"/>
    </xf>
    <xf numFmtId="164" fontId="7" fillId="0" borderId="5" xfId="0" applyNumberFormat="1" applyFont="1" applyBorder="1" applyAlignment="1">
      <alignment horizontal="center" vertical="center" wrapText="1"/>
    </xf>
    <xf numFmtId="164" fontId="7" fillId="0" borderId="6" xfId="0" applyNumberFormat="1" applyFont="1" applyBorder="1" applyAlignment="1">
      <alignment horizontal="center" vertical="center" wrapText="1"/>
    </xf>
    <xf numFmtId="164" fontId="7" fillId="0" borderId="7" xfId="0" applyNumberFormat="1" applyFont="1" applyBorder="1" applyAlignment="1">
      <alignment horizontal="center" vertical="center" wrapText="1"/>
    </xf>
    <xf numFmtId="164" fontId="7" fillId="0" borderId="2" xfId="0" applyNumberFormat="1" applyFont="1" applyBorder="1" applyAlignment="1">
      <alignment horizontal="center" vertical="center" wrapText="1"/>
    </xf>
    <xf numFmtId="164" fontId="7" fillId="0" borderId="8" xfId="0" applyNumberFormat="1" applyFont="1" applyBorder="1" applyAlignment="1">
      <alignment horizontal="center" vertical="center" wrapText="1"/>
    </xf>
    <xf numFmtId="164" fontId="7" fillId="0" borderId="9" xfId="0" applyNumberFormat="1" applyFont="1" applyBorder="1" applyAlignment="1">
      <alignment horizontal="center" vertical="center" wrapText="1"/>
    </xf>
    <xf numFmtId="164" fontId="7" fillId="0" borderId="10" xfId="0" applyNumberFormat="1" applyFont="1" applyBorder="1" applyAlignment="1">
      <alignment horizontal="center" vertical="center" wrapText="1"/>
    </xf>
    <xf numFmtId="164" fontId="7" fillId="0" borderId="11" xfId="0" applyNumberFormat="1" applyFont="1" applyBorder="1" applyAlignment="1">
      <alignment horizontal="center" vertical="center" wrapText="1"/>
    </xf>
    <xf numFmtId="0" fontId="0" fillId="6" borderId="0" xfId="0" applyFill="1" applyAlignment="1">
      <alignment wrapText="1"/>
    </xf>
    <xf numFmtId="0" fontId="0" fillId="0" borderId="13" xfId="0" applyBorder="1"/>
    <xf numFmtId="171" fontId="0" fillId="0" borderId="0" xfId="0" applyNumberFormat="1"/>
    <xf numFmtId="164" fontId="0" fillId="0" borderId="0" xfId="0" applyNumberFormat="1"/>
    <xf numFmtId="0" fontId="0" fillId="7" borderId="0" xfId="0" applyFill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265"/>
  <sheetViews>
    <sheetView tabSelected="1" topLeftCell="AR210" zoomScale="48" zoomScaleNormal="55" workbookViewId="0">
      <selection activeCell="BH254" sqref="BH254"/>
    </sheetView>
  </sheetViews>
  <sheetFormatPr baseColWidth="10" defaultRowHeight="12.5" x14ac:dyDescent="0.25"/>
  <cols>
    <col min="1" max="1" width="65.08984375" customWidth="1"/>
    <col min="50" max="50" width="19.453125" customWidth="1"/>
    <col min="51" max="51" width="21.81640625" customWidth="1"/>
    <col min="55" max="55" width="16.81640625" customWidth="1"/>
    <col min="56" max="56" width="19.81640625" customWidth="1"/>
    <col min="59" max="59" width="14.08984375" customWidth="1"/>
  </cols>
  <sheetData>
    <row r="1" spans="1:46" ht="120.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</row>
    <row r="2" spans="1:46" x14ac:dyDescent="0.25">
      <c r="A2" s="3" t="s">
        <v>46</v>
      </c>
      <c r="B2" s="4">
        <v>2287.1</v>
      </c>
      <c r="C2" s="4">
        <v>1.2</v>
      </c>
      <c r="D2" s="4">
        <v>0</v>
      </c>
      <c r="E2" s="4">
        <v>5.4</v>
      </c>
      <c r="F2" s="4">
        <v>0.3</v>
      </c>
      <c r="G2" s="4">
        <v>6803.9</v>
      </c>
      <c r="H2" s="4">
        <v>59.8</v>
      </c>
      <c r="I2" s="4">
        <v>50.5</v>
      </c>
      <c r="J2" s="4">
        <v>43.4</v>
      </c>
      <c r="K2" s="4">
        <v>0</v>
      </c>
      <c r="L2" s="4">
        <v>144.9</v>
      </c>
      <c r="M2" s="4">
        <v>69</v>
      </c>
      <c r="N2" s="4">
        <v>9.1</v>
      </c>
      <c r="O2" s="4">
        <v>5.3</v>
      </c>
      <c r="P2" s="4">
        <v>1.3</v>
      </c>
      <c r="Q2" s="4">
        <v>1.4</v>
      </c>
      <c r="R2" s="4">
        <v>0.4</v>
      </c>
      <c r="S2" s="4">
        <v>1.7</v>
      </c>
      <c r="T2" s="4">
        <v>0.2</v>
      </c>
      <c r="U2" s="4">
        <v>2.4</v>
      </c>
      <c r="V2" s="4">
        <v>2.5</v>
      </c>
      <c r="W2" s="4">
        <v>5.8</v>
      </c>
      <c r="X2" s="4">
        <v>2</v>
      </c>
      <c r="Y2" s="4">
        <v>0.2</v>
      </c>
      <c r="Z2" s="4">
        <v>7.6</v>
      </c>
      <c r="AA2" s="4">
        <v>158.19999999999999</v>
      </c>
      <c r="AB2" s="4">
        <v>3.3</v>
      </c>
      <c r="AC2" s="4">
        <v>1.4</v>
      </c>
      <c r="AD2" s="4">
        <v>1.6</v>
      </c>
      <c r="AE2" s="4">
        <v>2.1</v>
      </c>
      <c r="AF2" s="4">
        <v>0.2</v>
      </c>
      <c r="AG2" s="4">
        <v>134.69999999999999</v>
      </c>
      <c r="AH2" s="4">
        <v>6.5</v>
      </c>
      <c r="AI2" s="4">
        <v>1.6</v>
      </c>
      <c r="AJ2" s="4">
        <v>0.7</v>
      </c>
      <c r="AK2" s="4">
        <v>0.9</v>
      </c>
      <c r="AL2" s="4">
        <v>1.9</v>
      </c>
      <c r="AM2" s="4">
        <v>3.6</v>
      </c>
      <c r="AN2" s="4">
        <v>2.8</v>
      </c>
      <c r="AO2" s="4">
        <v>19.399999999999999</v>
      </c>
      <c r="AP2" s="4">
        <v>13.6</v>
      </c>
      <c r="AQ2" s="4">
        <v>11.2</v>
      </c>
      <c r="AR2" s="4">
        <v>3.6</v>
      </c>
      <c r="AS2" s="4">
        <v>4.8</v>
      </c>
      <c r="AT2" s="4">
        <v>0</v>
      </c>
    </row>
    <row r="3" spans="1:46" x14ac:dyDescent="0.25">
      <c r="A3" s="3" t="s">
        <v>47</v>
      </c>
      <c r="B3" s="5">
        <v>31.8</v>
      </c>
      <c r="C3" s="5">
        <v>95.4</v>
      </c>
      <c r="D3" s="5">
        <v>0</v>
      </c>
      <c r="E3" s="5">
        <v>0</v>
      </c>
      <c r="F3" s="5">
        <v>0</v>
      </c>
      <c r="G3" s="5">
        <v>319.7</v>
      </c>
      <c r="H3" s="5">
        <v>1.1000000000000001</v>
      </c>
      <c r="I3" s="5">
        <v>0</v>
      </c>
      <c r="J3" s="5">
        <v>0</v>
      </c>
      <c r="K3" s="5">
        <v>0</v>
      </c>
      <c r="L3" s="5">
        <v>3.9</v>
      </c>
      <c r="M3" s="5">
        <v>3.1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1.3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0.1</v>
      </c>
      <c r="AA3" s="5">
        <v>4.9000000000000004</v>
      </c>
      <c r="AB3" s="5">
        <v>0.1</v>
      </c>
      <c r="AC3" s="5">
        <v>0.1</v>
      </c>
      <c r="AD3" s="5">
        <v>0.1</v>
      </c>
      <c r="AE3" s="5">
        <v>0.1</v>
      </c>
      <c r="AF3" s="5">
        <v>0</v>
      </c>
      <c r="AG3" s="5">
        <v>30.4</v>
      </c>
      <c r="AH3" s="5">
        <v>0.3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5">
        <v>0</v>
      </c>
      <c r="AO3" s="5">
        <v>3.3</v>
      </c>
      <c r="AP3" s="5">
        <v>0.9</v>
      </c>
      <c r="AQ3" s="5">
        <v>0.7</v>
      </c>
      <c r="AR3" s="5">
        <v>0.1</v>
      </c>
      <c r="AS3" s="5">
        <v>0.1</v>
      </c>
      <c r="AT3" s="5">
        <v>0</v>
      </c>
    </row>
    <row r="4" spans="1:46" x14ac:dyDescent="0.25">
      <c r="A4" s="3" t="s">
        <v>48</v>
      </c>
      <c r="B4" s="4">
        <v>6.1</v>
      </c>
      <c r="C4" s="4">
        <v>2</v>
      </c>
      <c r="D4" s="4">
        <v>0.1</v>
      </c>
      <c r="E4" s="4">
        <v>7.7</v>
      </c>
      <c r="F4" s="4">
        <v>3.2</v>
      </c>
      <c r="G4" s="4">
        <v>11.9</v>
      </c>
      <c r="H4" s="4">
        <v>1.2</v>
      </c>
      <c r="I4" s="4">
        <v>0.1</v>
      </c>
      <c r="J4" s="4">
        <v>0.4</v>
      </c>
      <c r="K4" s="4">
        <v>10.4</v>
      </c>
      <c r="L4" s="4">
        <v>5.0999999999999996</v>
      </c>
      <c r="M4" s="4">
        <v>0.3</v>
      </c>
      <c r="N4" s="4">
        <v>0.2</v>
      </c>
      <c r="O4" s="4">
        <v>4</v>
      </c>
      <c r="P4" s="4">
        <v>1.7</v>
      </c>
      <c r="Q4" s="4">
        <v>0.9</v>
      </c>
      <c r="R4" s="4">
        <v>0.2</v>
      </c>
      <c r="S4" s="4">
        <v>1.8</v>
      </c>
      <c r="T4" s="4">
        <v>0.1</v>
      </c>
      <c r="U4" s="4">
        <v>0.8</v>
      </c>
      <c r="V4" s="4">
        <v>0</v>
      </c>
      <c r="W4" s="4">
        <v>0.3</v>
      </c>
      <c r="X4" s="4">
        <v>596.9</v>
      </c>
      <c r="Y4" s="4">
        <v>72.900000000000006</v>
      </c>
      <c r="Z4" s="4">
        <v>6</v>
      </c>
      <c r="AA4" s="4">
        <v>10.4</v>
      </c>
      <c r="AB4" s="4">
        <v>9.3000000000000007</v>
      </c>
      <c r="AC4" s="4">
        <v>2.2000000000000002</v>
      </c>
      <c r="AD4" s="4">
        <v>7</v>
      </c>
      <c r="AE4" s="4">
        <v>1.6</v>
      </c>
      <c r="AF4" s="4">
        <v>0.5</v>
      </c>
      <c r="AG4" s="4">
        <v>0.7</v>
      </c>
      <c r="AH4" s="4">
        <v>0.7</v>
      </c>
      <c r="AI4" s="4">
        <v>0.7</v>
      </c>
      <c r="AJ4" s="4">
        <v>0.1</v>
      </c>
      <c r="AK4" s="4">
        <v>0.1</v>
      </c>
      <c r="AL4" s="4">
        <v>0.2</v>
      </c>
      <c r="AM4" s="4">
        <v>0.2</v>
      </c>
      <c r="AN4" s="4">
        <v>0.3</v>
      </c>
      <c r="AO4" s="4">
        <v>13.6</v>
      </c>
      <c r="AP4" s="4">
        <v>1.6</v>
      </c>
      <c r="AQ4" s="4">
        <v>1</v>
      </c>
      <c r="AR4" s="4">
        <v>0.2</v>
      </c>
      <c r="AS4" s="4">
        <v>0.2</v>
      </c>
      <c r="AT4" s="4">
        <v>0</v>
      </c>
    </row>
    <row r="5" spans="1:46" x14ac:dyDescent="0.25">
      <c r="A5" s="3" t="s">
        <v>49</v>
      </c>
      <c r="B5" s="5">
        <v>1.1000000000000001</v>
      </c>
      <c r="C5" s="5">
        <v>0.5</v>
      </c>
      <c r="D5" s="5">
        <v>0</v>
      </c>
      <c r="E5" s="5">
        <v>11.2</v>
      </c>
      <c r="F5" s="5">
        <v>2.4</v>
      </c>
      <c r="G5" s="5">
        <v>10.4</v>
      </c>
      <c r="H5" s="5">
        <v>1.6</v>
      </c>
      <c r="I5" s="5">
        <v>0.9</v>
      </c>
      <c r="J5" s="5">
        <v>0.4</v>
      </c>
      <c r="K5" s="5">
        <v>0.2</v>
      </c>
      <c r="L5" s="5">
        <v>1766.3</v>
      </c>
      <c r="M5" s="5">
        <v>112.6</v>
      </c>
      <c r="N5" s="5">
        <v>0.8</v>
      </c>
      <c r="O5" s="5">
        <v>83</v>
      </c>
      <c r="P5" s="5">
        <v>29.8</v>
      </c>
      <c r="Q5" s="5">
        <v>66.099999999999994</v>
      </c>
      <c r="R5" s="5">
        <v>0.4</v>
      </c>
      <c r="S5" s="5">
        <v>66.900000000000006</v>
      </c>
      <c r="T5" s="5">
        <v>0.5</v>
      </c>
      <c r="U5" s="5">
        <v>1.1000000000000001</v>
      </c>
      <c r="V5" s="5">
        <v>0.1</v>
      </c>
      <c r="W5" s="5">
        <v>0.7</v>
      </c>
      <c r="X5" s="5">
        <v>11.5</v>
      </c>
      <c r="Y5" s="5">
        <v>1.4</v>
      </c>
      <c r="Z5" s="5">
        <v>234.5</v>
      </c>
      <c r="AA5" s="5">
        <v>9</v>
      </c>
      <c r="AB5" s="5">
        <v>1.8</v>
      </c>
      <c r="AC5" s="5">
        <v>0.4</v>
      </c>
      <c r="AD5" s="5">
        <v>1.3</v>
      </c>
      <c r="AE5" s="5">
        <v>1.3</v>
      </c>
      <c r="AF5" s="5">
        <v>0.1</v>
      </c>
      <c r="AG5" s="5">
        <v>0.9</v>
      </c>
      <c r="AH5" s="5">
        <v>0.9</v>
      </c>
      <c r="AI5" s="5">
        <v>0.9</v>
      </c>
      <c r="AJ5" s="5">
        <v>0.2</v>
      </c>
      <c r="AK5" s="5">
        <v>1.8</v>
      </c>
      <c r="AL5" s="5">
        <v>0.4</v>
      </c>
      <c r="AM5" s="5">
        <v>0.9</v>
      </c>
      <c r="AN5" s="5">
        <v>0.4</v>
      </c>
      <c r="AO5" s="5">
        <v>49.3</v>
      </c>
      <c r="AP5" s="5">
        <v>1.5</v>
      </c>
      <c r="AQ5" s="5">
        <v>1.1000000000000001</v>
      </c>
      <c r="AR5" s="5">
        <v>0.2</v>
      </c>
      <c r="AS5" s="5">
        <v>0.2</v>
      </c>
      <c r="AT5" s="5">
        <v>0</v>
      </c>
    </row>
    <row r="6" spans="1:46" x14ac:dyDescent="0.25">
      <c r="A6" s="3" t="s">
        <v>50</v>
      </c>
      <c r="B6" s="4">
        <v>10.1</v>
      </c>
      <c r="C6" s="4">
        <v>3.1</v>
      </c>
      <c r="D6" s="4">
        <v>3.9</v>
      </c>
      <c r="E6" s="4">
        <v>283.60000000000002</v>
      </c>
      <c r="F6" s="4">
        <v>146.1</v>
      </c>
      <c r="G6" s="4">
        <v>7.5</v>
      </c>
      <c r="H6" s="4">
        <v>0.1</v>
      </c>
      <c r="I6" s="4">
        <v>0</v>
      </c>
      <c r="J6" s="4">
        <v>2.6</v>
      </c>
      <c r="K6" s="4">
        <v>0.6</v>
      </c>
      <c r="L6" s="4">
        <v>14.7</v>
      </c>
      <c r="M6" s="4">
        <v>0.1</v>
      </c>
      <c r="N6" s="4">
        <v>0.6</v>
      </c>
      <c r="O6" s="4">
        <v>55.2</v>
      </c>
      <c r="P6" s="4">
        <v>16.600000000000001</v>
      </c>
      <c r="Q6" s="4">
        <v>0.3</v>
      </c>
      <c r="R6" s="4">
        <v>0</v>
      </c>
      <c r="S6" s="4">
        <v>0.3</v>
      </c>
      <c r="T6" s="4">
        <v>0.1</v>
      </c>
      <c r="U6" s="4">
        <v>0</v>
      </c>
      <c r="V6" s="4">
        <v>0</v>
      </c>
      <c r="W6" s="4">
        <v>0.1</v>
      </c>
      <c r="X6" s="4">
        <v>19.899999999999999</v>
      </c>
      <c r="Y6" s="4">
        <v>2.2999999999999998</v>
      </c>
      <c r="Z6" s="4">
        <v>233.9</v>
      </c>
      <c r="AA6" s="4">
        <v>0.4</v>
      </c>
      <c r="AB6" s="4">
        <v>4.9000000000000004</v>
      </c>
      <c r="AC6" s="4">
        <v>0</v>
      </c>
      <c r="AD6" s="4">
        <v>0</v>
      </c>
      <c r="AE6" s="4">
        <v>0.5</v>
      </c>
      <c r="AF6" s="4">
        <v>0</v>
      </c>
      <c r="AG6" s="4">
        <v>0.1</v>
      </c>
      <c r="AH6" s="4">
        <v>0</v>
      </c>
      <c r="AI6" s="4">
        <v>0</v>
      </c>
      <c r="AJ6" s="4">
        <v>0</v>
      </c>
      <c r="AK6" s="4">
        <v>0</v>
      </c>
      <c r="AL6" s="4">
        <v>0.8</v>
      </c>
      <c r="AM6" s="4">
        <v>2.1</v>
      </c>
      <c r="AN6" s="4">
        <v>0.3</v>
      </c>
      <c r="AO6" s="4">
        <v>2.7</v>
      </c>
      <c r="AP6" s="4">
        <v>0.2</v>
      </c>
      <c r="AQ6" s="4">
        <v>0</v>
      </c>
      <c r="AR6" s="4">
        <v>0</v>
      </c>
      <c r="AS6" s="4">
        <v>0</v>
      </c>
      <c r="AT6" s="4">
        <v>0</v>
      </c>
    </row>
    <row r="7" spans="1:46" x14ac:dyDescent="0.25">
      <c r="A7" s="3" t="s">
        <v>51</v>
      </c>
      <c r="B7" s="5">
        <v>1730.4</v>
      </c>
      <c r="C7" s="5">
        <v>8.6999999999999993</v>
      </c>
      <c r="D7" s="5">
        <v>0</v>
      </c>
      <c r="E7" s="5">
        <v>2.1</v>
      </c>
      <c r="F7" s="5">
        <v>1.1000000000000001</v>
      </c>
      <c r="G7" s="5">
        <v>2643.8</v>
      </c>
      <c r="H7" s="5">
        <v>33.9</v>
      </c>
      <c r="I7" s="5">
        <v>1.2</v>
      </c>
      <c r="J7" s="5">
        <v>3.5</v>
      </c>
      <c r="K7" s="5">
        <v>0</v>
      </c>
      <c r="L7" s="5">
        <v>21.4</v>
      </c>
      <c r="M7" s="5">
        <v>8.1</v>
      </c>
      <c r="N7" s="5">
        <v>6.3</v>
      </c>
      <c r="O7" s="5">
        <v>5.7</v>
      </c>
      <c r="P7" s="5">
        <v>2.6</v>
      </c>
      <c r="Q7" s="5">
        <v>4.7</v>
      </c>
      <c r="R7" s="5">
        <v>1.8</v>
      </c>
      <c r="S7" s="5">
        <v>6.6</v>
      </c>
      <c r="T7" s="5">
        <v>0.9</v>
      </c>
      <c r="U7" s="5">
        <v>5.2</v>
      </c>
      <c r="V7" s="5">
        <v>0.8</v>
      </c>
      <c r="W7" s="5">
        <v>3</v>
      </c>
      <c r="X7" s="5">
        <v>3.1</v>
      </c>
      <c r="Y7" s="5">
        <v>0.4</v>
      </c>
      <c r="Z7" s="5">
        <v>19.8</v>
      </c>
      <c r="AA7" s="5">
        <v>120.1</v>
      </c>
      <c r="AB7" s="5">
        <v>9.8000000000000007</v>
      </c>
      <c r="AC7" s="5">
        <v>2.9</v>
      </c>
      <c r="AD7" s="5">
        <v>8.9</v>
      </c>
      <c r="AE7" s="5">
        <v>6.9</v>
      </c>
      <c r="AF7" s="5">
        <v>0.9</v>
      </c>
      <c r="AG7" s="5">
        <v>673.4</v>
      </c>
      <c r="AH7" s="5">
        <v>19</v>
      </c>
      <c r="AI7" s="5">
        <v>5.2</v>
      </c>
      <c r="AJ7" s="5">
        <v>1.2</v>
      </c>
      <c r="AK7" s="5">
        <v>9</v>
      </c>
      <c r="AL7" s="5">
        <v>1.9</v>
      </c>
      <c r="AM7" s="5">
        <v>4.5</v>
      </c>
      <c r="AN7" s="5">
        <v>2.2000000000000002</v>
      </c>
      <c r="AO7" s="5">
        <v>97.1</v>
      </c>
      <c r="AP7" s="5">
        <v>32.9</v>
      </c>
      <c r="AQ7" s="5">
        <v>21.3</v>
      </c>
      <c r="AR7" s="5">
        <v>4.5</v>
      </c>
      <c r="AS7" s="5">
        <v>6.6</v>
      </c>
      <c r="AT7" s="5">
        <v>0</v>
      </c>
    </row>
    <row r="8" spans="1:46" x14ac:dyDescent="0.25">
      <c r="A8" s="3" t="s">
        <v>52</v>
      </c>
      <c r="B8" s="4">
        <v>25.5</v>
      </c>
      <c r="C8" s="4">
        <v>1.4</v>
      </c>
      <c r="D8" s="4">
        <v>0</v>
      </c>
      <c r="E8" s="4">
        <v>1.2</v>
      </c>
      <c r="F8" s="4">
        <v>0.3</v>
      </c>
      <c r="G8" s="4">
        <v>12</v>
      </c>
      <c r="H8" s="4">
        <v>1840.2</v>
      </c>
      <c r="I8" s="4">
        <v>2.2999999999999998</v>
      </c>
      <c r="J8" s="4">
        <v>6</v>
      </c>
      <c r="K8" s="4">
        <v>0</v>
      </c>
      <c r="L8" s="4">
        <v>7.6</v>
      </c>
      <c r="M8" s="4">
        <v>2.4</v>
      </c>
      <c r="N8" s="4">
        <v>10.5</v>
      </c>
      <c r="O8" s="4">
        <v>1.9</v>
      </c>
      <c r="P8" s="4">
        <v>0.4</v>
      </c>
      <c r="Q8" s="4">
        <v>2</v>
      </c>
      <c r="R8" s="4">
        <v>1.4</v>
      </c>
      <c r="S8" s="4">
        <v>3.6</v>
      </c>
      <c r="T8" s="4">
        <v>1.2</v>
      </c>
      <c r="U8" s="4">
        <v>4.2</v>
      </c>
      <c r="V8" s="4">
        <v>0.1</v>
      </c>
      <c r="W8" s="4">
        <v>32.200000000000003</v>
      </c>
      <c r="X8" s="4">
        <v>0.5</v>
      </c>
      <c r="Y8" s="4">
        <v>0.1</v>
      </c>
      <c r="Z8" s="4">
        <v>6.4</v>
      </c>
      <c r="AA8" s="4">
        <v>12.7</v>
      </c>
      <c r="AB8" s="4">
        <v>1.8</v>
      </c>
      <c r="AC8" s="4">
        <v>0.4</v>
      </c>
      <c r="AD8" s="4">
        <v>1.3</v>
      </c>
      <c r="AE8" s="4">
        <v>0.9</v>
      </c>
      <c r="AF8" s="4">
        <v>0.1</v>
      </c>
      <c r="AG8" s="4">
        <v>4.4000000000000004</v>
      </c>
      <c r="AH8" s="4">
        <v>4.2</v>
      </c>
      <c r="AI8" s="4">
        <v>0.4</v>
      </c>
      <c r="AJ8" s="4">
        <v>0.5</v>
      </c>
      <c r="AK8" s="4">
        <v>0.5</v>
      </c>
      <c r="AL8" s="4">
        <v>0.9</v>
      </c>
      <c r="AM8" s="4">
        <v>2.2000000000000002</v>
      </c>
      <c r="AN8" s="4">
        <v>1.8</v>
      </c>
      <c r="AO8" s="4">
        <v>49.8</v>
      </c>
      <c r="AP8" s="4">
        <v>5.6</v>
      </c>
      <c r="AQ8" s="4">
        <v>3.7</v>
      </c>
      <c r="AR8" s="4">
        <v>0.5</v>
      </c>
      <c r="AS8" s="4">
        <v>1.2</v>
      </c>
      <c r="AT8" s="4">
        <v>0</v>
      </c>
    </row>
    <row r="9" spans="1:46" x14ac:dyDescent="0.25">
      <c r="A9" s="3" t="s">
        <v>53</v>
      </c>
      <c r="B9" s="5">
        <v>8.1999999999999993</v>
      </c>
      <c r="C9" s="5">
        <v>0.1</v>
      </c>
      <c r="D9" s="5">
        <v>0</v>
      </c>
      <c r="E9" s="5">
        <v>0.6</v>
      </c>
      <c r="F9" s="5">
        <v>0.5</v>
      </c>
      <c r="G9" s="5">
        <v>10</v>
      </c>
      <c r="H9" s="5">
        <v>14.5</v>
      </c>
      <c r="I9" s="5">
        <v>130.9</v>
      </c>
      <c r="J9" s="5">
        <v>9.4</v>
      </c>
      <c r="K9" s="5">
        <v>0</v>
      </c>
      <c r="L9" s="5">
        <v>0.6</v>
      </c>
      <c r="M9" s="5">
        <v>0.2</v>
      </c>
      <c r="N9" s="5">
        <v>2.5</v>
      </c>
      <c r="O9" s="5">
        <v>7.2</v>
      </c>
      <c r="P9" s="5">
        <v>0.3</v>
      </c>
      <c r="Q9" s="5">
        <v>23.2</v>
      </c>
      <c r="R9" s="5">
        <v>0.1</v>
      </c>
      <c r="S9" s="5">
        <v>6.7</v>
      </c>
      <c r="T9" s="5">
        <v>0.5</v>
      </c>
      <c r="U9" s="5">
        <v>6.8</v>
      </c>
      <c r="V9" s="5">
        <v>14.5</v>
      </c>
      <c r="W9" s="5">
        <v>80.099999999999994</v>
      </c>
      <c r="X9" s="5">
        <v>0.2</v>
      </c>
      <c r="Y9" s="5">
        <v>0</v>
      </c>
      <c r="Z9" s="5">
        <v>445.6</v>
      </c>
      <c r="AA9" s="5">
        <v>29.7</v>
      </c>
      <c r="AB9" s="5">
        <v>0.7</v>
      </c>
      <c r="AC9" s="5">
        <v>0.1</v>
      </c>
      <c r="AD9" s="5">
        <v>0.4</v>
      </c>
      <c r="AE9" s="5">
        <v>0.5</v>
      </c>
      <c r="AF9" s="5">
        <v>0.1</v>
      </c>
      <c r="AG9" s="5">
        <v>0.3</v>
      </c>
      <c r="AH9" s="5">
        <v>5.4</v>
      </c>
      <c r="AI9" s="5">
        <v>0.3</v>
      </c>
      <c r="AJ9" s="5">
        <v>0.7</v>
      </c>
      <c r="AK9" s="5">
        <v>0.5</v>
      </c>
      <c r="AL9" s="5">
        <v>3</v>
      </c>
      <c r="AM9" s="5">
        <v>2.7</v>
      </c>
      <c r="AN9" s="5">
        <v>2.9</v>
      </c>
      <c r="AO9" s="5">
        <v>1</v>
      </c>
      <c r="AP9" s="5">
        <v>0.5</v>
      </c>
      <c r="AQ9" s="5">
        <v>0.4</v>
      </c>
      <c r="AR9" s="5">
        <v>1.5</v>
      </c>
      <c r="AS9" s="5">
        <v>2.2999999999999998</v>
      </c>
      <c r="AT9" s="5">
        <v>0</v>
      </c>
    </row>
    <row r="10" spans="1:46" x14ac:dyDescent="0.25">
      <c r="A10" s="3" t="s">
        <v>54</v>
      </c>
      <c r="B10" s="4">
        <v>6</v>
      </c>
      <c r="C10" s="4">
        <v>0.8</v>
      </c>
      <c r="D10" s="4">
        <v>0</v>
      </c>
      <c r="E10" s="4">
        <v>6.2</v>
      </c>
      <c r="F10" s="4">
        <v>0.3</v>
      </c>
      <c r="G10" s="4">
        <v>212.2</v>
      </c>
      <c r="H10" s="4">
        <v>79</v>
      </c>
      <c r="I10" s="4">
        <v>0.9</v>
      </c>
      <c r="J10" s="4">
        <v>215</v>
      </c>
      <c r="K10" s="4">
        <v>0</v>
      </c>
      <c r="L10" s="4">
        <v>36.200000000000003</v>
      </c>
      <c r="M10" s="4">
        <v>21.8</v>
      </c>
      <c r="N10" s="4">
        <v>6.7</v>
      </c>
      <c r="O10" s="4">
        <v>30.3</v>
      </c>
      <c r="P10" s="4">
        <v>2.9</v>
      </c>
      <c r="Q10" s="4">
        <v>4.7</v>
      </c>
      <c r="R10" s="4">
        <v>1.7</v>
      </c>
      <c r="S10" s="4">
        <v>13.6</v>
      </c>
      <c r="T10" s="4">
        <v>2</v>
      </c>
      <c r="U10" s="4">
        <v>7.7</v>
      </c>
      <c r="V10" s="4">
        <v>0.2</v>
      </c>
      <c r="W10" s="4">
        <v>4.9000000000000004</v>
      </c>
      <c r="X10" s="4">
        <v>4.7</v>
      </c>
      <c r="Y10" s="4">
        <v>0.6</v>
      </c>
      <c r="Z10" s="4">
        <v>9.8000000000000007</v>
      </c>
      <c r="AA10" s="4">
        <v>78.599999999999994</v>
      </c>
      <c r="AB10" s="4">
        <v>4.5</v>
      </c>
      <c r="AC10" s="4">
        <v>0.7</v>
      </c>
      <c r="AD10" s="4">
        <v>2.4</v>
      </c>
      <c r="AE10" s="4">
        <v>4.0999999999999996</v>
      </c>
      <c r="AF10" s="4">
        <v>3.4</v>
      </c>
      <c r="AG10" s="4">
        <v>6.8</v>
      </c>
      <c r="AH10" s="4">
        <v>79.3</v>
      </c>
      <c r="AI10" s="4">
        <v>8</v>
      </c>
      <c r="AJ10" s="4">
        <v>3.2</v>
      </c>
      <c r="AK10" s="4">
        <v>29.8</v>
      </c>
      <c r="AL10" s="4">
        <v>3.7</v>
      </c>
      <c r="AM10" s="4">
        <v>14.4</v>
      </c>
      <c r="AN10" s="4">
        <v>6.2</v>
      </c>
      <c r="AO10" s="4">
        <v>57.3</v>
      </c>
      <c r="AP10" s="4">
        <v>70.099999999999994</v>
      </c>
      <c r="AQ10" s="4">
        <v>30.6</v>
      </c>
      <c r="AR10" s="4">
        <v>9.9</v>
      </c>
      <c r="AS10" s="4">
        <v>13.3</v>
      </c>
      <c r="AT10" s="4">
        <v>0</v>
      </c>
    </row>
    <row r="11" spans="1:46" x14ac:dyDescent="0.25">
      <c r="A11" s="3" t="s">
        <v>55</v>
      </c>
      <c r="B11" s="5">
        <v>289.10000000000002</v>
      </c>
      <c r="C11" s="5">
        <v>101</v>
      </c>
      <c r="D11" s="5">
        <v>0.2</v>
      </c>
      <c r="E11" s="5">
        <v>102.5</v>
      </c>
      <c r="F11" s="5">
        <v>7.5</v>
      </c>
      <c r="G11" s="5">
        <v>179.5</v>
      </c>
      <c r="H11" s="5">
        <v>23.2</v>
      </c>
      <c r="I11" s="5">
        <v>0.9</v>
      </c>
      <c r="J11" s="5">
        <v>9.4</v>
      </c>
      <c r="K11" s="5">
        <v>1.4</v>
      </c>
      <c r="L11" s="5">
        <v>62.6</v>
      </c>
      <c r="M11" s="5">
        <v>7.7</v>
      </c>
      <c r="N11" s="5">
        <v>14.4</v>
      </c>
      <c r="O11" s="5">
        <v>175.8</v>
      </c>
      <c r="P11" s="5">
        <v>25</v>
      </c>
      <c r="Q11" s="5">
        <v>21.6</v>
      </c>
      <c r="R11" s="5">
        <v>2.1</v>
      </c>
      <c r="S11" s="5">
        <v>8.6999999999999993</v>
      </c>
      <c r="T11" s="5">
        <v>2.4</v>
      </c>
      <c r="U11" s="5">
        <v>36.299999999999997</v>
      </c>
      <c r="V11" s="5">
        <v>0.2</v>
      </c>
      <c r="W11" s="5">
        <v>10.8</v>
      </c>
      <c r="X11" s="5">
        <v>116</v>
      </c>
      <c r="Y11" s="5">
        <v>14.3</v>
      </c>
      <c r="Z11" s="5">
        <v>242.4</v>
      </c>
      <c r="AA11" s="5">
        <v>230.8</v>
      </c>
      <c r="AB11" s="5">
        <v>462.7</v>
      </c>
      <c r="AC11" s="5">
        <v>88.3</v>
      </c>
      <c r="AD11" s="5">
        <v>353.6</v>
      </c>
      <c r="AE11" s="5">
        <v>68.5</v>
      </c>
      <c r="AF11" s="5">
        <v>26.8</v>
      </c>
      <c r="AG11" s="5">
        <v>22.9</v>
      </c>
      <c r="AH11" s="5">
        <v>19.399999999999999</v>
      </c>
      <c r="AI11" s="5">
        <v>35</v>
      </c>
      <c r="AJ11" s="5">
        <v>1.8</v>
      </c>
      <c r="AK11" s="5">
        <v>0.2</v>
      </c>
      <c r="AL11" s="5">
        <v>6.5</v>
      </c>
      <c r="AM11" s="5">
        <v>7.5</v>
      </c>
      <c r="AN11" s="5">
        <v>11.9</v>
      </c>
      <c r="AO11" s="5">
        <v>293.89999999999998</v>
      </c>
      <c r="AP11" s="5">
        <v>63.1</v>
      </c>
      <c r="AQ11" s="5">
        <v>43</v>
      </c>
      <c r="AR11" s="5">
        <v>5</v>
      </c>
      <c r="AS11" s="5">
        <v>7.4</v>
      </c>
      <c r="AT11" s="5">
        <v>0</v>
      </c>
    </row>
    <row r="12" spans="1:46" x14ac:dyDescent="0.25">
      <c r="A12" s="3" t="s">
        <v>56</v>
      </c>
      <c r="B12" s="4">
        <v>683.1</v>
      </c>
      <c r="C12" s="4">
        <v>2.2999999999999998</v>
      </c>
      <c r="D12" s="4">
        <v>0</v>
      </c>
      <c r="E12" s="4">
        <v>13.1</v>
      </c>
      <c r="F12" s="4">
        <v>5.6</v>
      </c>
      <c r="G12" s="4">
        <v>191.5</v>
      </c>
      <c r="H12" s="4">
        <v>206.6</v>
      </c>
      <c r="I12" s="4">
        <v>4.8</v>
      </c>
      <c r="J12" s="4">
        <v>83.3</v>
      </c>
      <c r="K12" s="4">
        <v>0.1</v>
      </c>
      <c r="L12" s="4">
        <v>667.5</v>
      </c>
      <c r="M12" s="4">
        <v>100.9</v>
      </c>
      <c r="N12" s="4">
        <v>414</v>
      </c>
      <c r="O12" s="4">
        <v>112.7</v>
      </c>
      <c r="P12" s="4">
        <v>13.6</v>
      </c>
      <c r="Q12" s="4">
        <v>59.4</v>
      </c>
      <c r="R12" s="4">
        <v>8</v>
      </c>
      <c r="S12" s="4">
        <v>89.8</v>
      </c>
      <c r="T12" s="4">
        <v>13</v>
      </c>
      <c r="U12" s="4">
        <v>43.5</v>
      </c>
      <c r="V12" s="4">
        <v>4.3</v>
      </c>
      <c r="W12" s="4">
        <v>56.4</v>
      </c>
      <c r="X12" s="4">
        <v>17</v>
      </c>
      <c r="Y12" s="4">
        <v>4.8</v>
      </c>
      <c r="Z12" s="4">
        <v>175.6</v>
      </c>
      <c r="AA12" s="4">
        <v>137</v>
      </c>
      <c r="AB12" s="4">
        <v>13.2</v>
      </c>
      <c r="AC12" s="4">
        <v>2.7</v>
      </c>
      <c r="AD12" s="4">
        <v>9.1999999999999993</v>
      </c>
      <c r="AE12" s="4">
        <v>6.1</v>
      </c>
      <c r="AF12" s="4">
        <v>2.2000000000000002</v>
      </c>
      <c r="AG12" s="4">
        <v>18.8</v>
      </c>
      <c r="AH12" s="4">
        <v>49.3</v>
      </c>
      <c r="AI12" s="4">
        <v>6.7</v>
      </c>
      <c r="AJ12" s="4">
        <v>2.5</v>
      </c>
      <c r="AK12" s="4">
        <v>6</v>
      </c>
      <c r="AL12" s="4">
        <v>8</v>
      </c>
      <c r="AM12" s="4">
        <v>14.5</v>
      </c>
      <c r="AN12" s="4">
        <v>9.5</v>
      </c>
      <c r="AO12" s="4">
        <v>44.8</v>
      </c>
      <c r="AP12" s="4">
        <v>36.799999999999997</v>
      </c>
      <c r="AQ12" s="4">
        <v>44.8</v>
      </c>
      <c r="AR12" s="4">
        <v>6.7</v>
      </c>
      <c r="AS12" s="4">
        <v>17.899999999999999</v>
      </c>
      <c r="AT12" s="4">
        <v>0</v>
      </c>
    </row>
    <row r="13" spans="1:46" x14ac:dyDescent="0.25">
      <c r="A13" s="3" t="s">
        <v>57</v>
      </c>
      <c r="B13" s="5">
        <v>103.5</v>
      </c>
      <c r="C13" s="5">
        <v>0.6</v>
      </c>
      <c r="D13" s="5">
        <v>0</v>
      </c>
      <c r="E13" s="5">
        <v>1.5</v>
      </c>
      <c r="F13" s="5">
        <v>0.4</v>
      </c>
      <c r="G13" s="5">
        <v>57.7</v>
      </c>
      <c r="H13" s="5">
        <v>18.600000000000001</v>
      </c>
      <c r="I13" s="5">
        <v>0.9</v>
      </c>
      <c r="J13" s="5">
        <v>7.6</v>
      </c>
      <c r="K13" s="5">
        <v>0</v>
      </c>
      <c r="L13" s="5">
        <v>68.2</v>
      </c>
      <c r="M13" s="5">
        <v>291</v>
      </c>
      <c r="N13" s="5">
        <v>25.6</v>
      </c>
      <c r="O13" s="5">
        <v>10.9</v>
      </c>
      <c r="P13" s="5">
        <v>1.5</v>
      </c>
      <c r="Q13" s="5">
        <v>7.2</v>
      </c>
      <c r="R13" s="5">
        <v>1.6</v>
      </c>
      <c r="S13" s="5">
        <v>9.6999999999999993</v>
      </c>
      <c r="T13" s="5">
        <v>1.8</v>
      </c>
      <c r="U13" s="5">
        <v>5.6</v>
      </c>
      <c r="V13" s="5">
        <v>0.4</v>
      </c>
      <c r="W13" s="5">
        <v>4.5</v>
      </c>
      <c r="X13" s="5">
        <v>2.6</v>
      </c>
      <c r="Y13" s="5">
        <v>0.6</v>
      </c>
      <c r="Z13" s="5">
        <v>17.100000000000001</v>
      </c>
      <c r="AA13" s="5">
        <v>31.5</v>
      </c>
      <c r="AB13" s="5">
        <v>3.3</v>
      </c>
      <c r="AC13" s="5">
        <v>0.9</v>
      </c>
      <c r="AD13" s="5">
        <v>2.7</v>
      </c>
      <c r="AE13" s="5">
        <v>2.1</v>
      </c>
      <c r="AF13" s="5">
        <v>0.7</v>
      </c>
      <c r="AG13" s="5">
        <v>4.3</v>
      </c>
      <c r="AH13" s="5">
        <v>6.8</v>
      </c>
      <c r="AI13" s="5">
        <v>2.4</v>
      </c>
      <c r="AJ13" s="5">
        <v>1</v>
      </c>
      <c r="AK13" s="5">
        <v>2.6</v>
      </c>
      <c r="AL13" s="5">
        <v>1.3</v>
      </c>
      <c r="AM13" s="5">
        <v>6.3</v>
      </c>
      <c r="AN13" s="5">
        <v>2</v>
      </c>
      <c r="AO13" s="5">
        <v>32.799999999999997</v>
      </c>
      <c r="AP13" s="5">
        <v>28.7</v>
      </c>
      <c r="AQ13" s="5">
        <v>76.3</v>
      </c>
      <c r="AR13" s="5">
        <v>2.8</v>
      </c>
      <c r="AS13" s="5">
        <v>3.8</v>
      </c>
      <c r="AT13" s="5">
        <v>0</v>
      </c>
    </row>
    <row r="14" spans="1:46" x14ac:dyDescent="0.25">
      <c r="A14" s="3" t="s">
        <v>58</v>
      </c>
      <c r="B14" s="4">
        <v>42.5</v>
      </c>
      <c r="C14" s="4">
        <v>5</v>
      </c>
      <c r="D14" s="4">
        <v>0</v>
      </c>
      <c r="E14" s="4">
        <v>28.8</v>
      </c>
      <c r="F14" s="4">
        <v>0.9</v>
      </c>
      <c r="G14" s="4">
        <v>215.6</v>
      </c>
      <c r="H14" s="4">
        <v>138.30000000000001</v>
      </c>
      <c r="I14" s="4">
        <v>1.2</v>
      </c>
      <c r="J14" s="4">
        <v>6.4</v>
      </c>
      <c r="K14" s="4">
        <v>0.1</v>
      </c>
      <c r="L14" s="4">
        <v>36.700000000000003</v>
      </c>
      <c r="M14" s="4">
        <v>14.8</v>
      </c>
      <c r="N14" s="4">
        <v>40</v>
      </c>
      <c r="O14" s="4">
        <v>7.3</v>
      </c>
      <c r="P14" s="4">
        <v>2.8</v>
      </c>
      <c r="Q14" s="4">
        <v>9.8000000000000007</v>
      </c>
      <c r="R14" s="4">
        <v>0.9</v>
      </c>
      <c r="S14" s="4">
        <v>98.7</v>
      </c>
      <c r="T14" s="4">
        <v>19.2</v>
      </c>
      <c r="U14" s="4">
        <v>108.4</v>
      </c>
      <c r="V14" s="4">
        <v>0.3</v>
      </c>
      <c r="W14" s="4">
        <v>18.100000000000001</v>
      </c>
      <c r="X14" s="4">
        <v>1.4</v>
      </c>
      <c r="Y14" s="4">
        <v>0.4</v>
      </c>
      <c r="Z14" s="4">
        <v>103.4</v>
      </c>
      <c r="AA14" s="4">
        <v>284.3</v>
      </c>
      <c r="AB14" s="4">
        <v>20.2</v>
      </c>
      <c r="AC14" s="4">
        <v>1.2</v>
      </c>
      <c r="AD14" s="4">
        <v>3.9</v>
      </c>
      <c r="AE14" s="4">
        <v>5.3</v>
      </c>
      <c r="AF14" s="4">
        <v>0.2</v>
      </c>
      <c r="AG14" s="4">
        <v>3.7</v>
      </c>
      <c r="AH14" s="4">
        <v>3.7</v>
      </c>
      <c r="AI14" s="4">
        <v>0.5</v>
      </c>
      <c r="AJ14" s="4">
        <v>0.2</v>
      </c>
      <c r="AK14" s="4">
        <v>0.3</v>
      </c>
      <c r="AL14" s="4">
        <v>0.7</v>
      </c>
      <c r="AM14" s="4">
        <v>1.2</v>
      </c>
      <c r="AN14" s="4">
        <v>0.9</v>
      </c>
      <c r="AO14" s="4">
        <v>31.6</v>
      </c>
      <c r="AP14" s="4">
        <v>1.6</v>
      </c>
      <c r="AQ14" s="4">
        <v>1.4</v>
      </c>
      <c r="AR14" s="4">
        <v>0.7</v>
      </c>
      <c r="AS14" s="4">
        <v>1.2</v>
      </c>
      <c r="AT14" s="4">
        <v>0</v>
      </c>
    </row>
    <row r="15" spans="1:46" x14ac:dyDescent="0.25">
      <c r="A15" s="3" t="s">
        <v>59</v>
      </c>
      <c r="B15" s="5">
        <v>5</v>
      </c>
      <c r="C15" s="5">
        <v>0.4</v>
      </c>
      <c r="D15" s="5">
        <v>0</v>
      </c>
      <c r="E15" s="5">
        <v>3.6</v>
      </c>
      <c r="F15" s="5">
        <v>1.6</v>
      </c>
      <c r="G15" s="5">
        <v>39.700000000000003</v>
      </c>
      <c r="H15" s="5">
        <v>12.5</v>
      </c>
      <c r="I15" s="5">
        <v>1.5</v>
      </c>
      <c r="J15" s="5">
        <v>3.7</v>
      </c>
      <c r="K15" s="5">
        <v>0</v>
      </c>
      <c r="L15" s="5">
        <v>29.8</v>
      </c>
      <c r="M15" s="5">
        <v>5.3</v>
      </c>
      <c r="N15" s="5">
        <v>4.4000000000000004</v>
      </c>
      <c r="O15" s="5">
        <v>279.89999999999998</v>
      </c>
      <c r="P15" s="5">
        <v>2.6</v>
      </c>
      <c r="Q15" s="5">
        <v>52.8</v>
      </c>
      <c r="R15" s="5">
        <v>2</v>
      </c>
      <c r="S15" s="5">
        <v>8.6</v>
      </c>
      <c r="T15" s="5">
        <v>0.6</v>
      </c>
      <c r="U15" s="5">
        <v>80</v>
      </c>
      <c r="V15" s="5">
        <v>0.9</v>
      </c>
      <c r="W15" s="5">
        <v>3.3</v>
      </c>
      <c r="X15" s="5">
        <v>1</v>
      </c>
      <c r="Y15" s="5">
        <v>0.2</v>
      </c>
      <c r="Z15" s="5">
        <v>2619</v>
      </c>
      <c r="AA15" s="5">
        <v>32.1</v>
      </c>
      <c r="AB15" s="5">
        <v>2.9</v>
      </c>
      <c r="AC15" s="5">
        <v>0.6</v>
      </c>
      <c r="AD15" s="5">
        <v>1.9</v>
      </c>
      <c r="AE15" s="5">
        <v>1.5</v>
      </c>
      <c r="AF15" s="5">
        <v>0.3</v>
      </c>
      <c r="AG15" s="5">
        <v>3.2</v>
      </c>
      <c r="AH15" s="5">
        <v>2.2000000000000002</v>
      </c>
      <c r="AI15" s="5">
        <v>1.1000000000000001</v>
      </c>
      <c r="AJ15" s="5">
        <v>0.3</v>
      </c>
      <c r="AK15" s="5">
        <v>0.9</v>
      </c>
      <c r="AL15" s="5">
        <v>0.8</v>
      </c>
      <c r="AM15" s="5">
        <v>1</v>
      </c>
      <c r="AN15" s="5">
        <v>0.6</v>
      </c>
      <c r="AO15" s="5">
        <v>11.6</v>
      </c>
      <c r="AP15" s="5">
        <v>1.7</v>
      </c>
      <c r="AQ15" s="5">
        <v>1.3</v>
      </c>
      <c r="AR15" s="5">
        <v>0.4</v>
      </c>
      <c r="AS15" s="5">
        <v>0.6</v>
      </c>
      <c r="AT15" s="5">
        <v>0</v>
      </c>
    </row>
    <row r="16" spans="1:46" x14ac:dyDescent="0.25">
      <c r="A16" s="3" t="s">
        <v>60</v>
      </c>
      <c r="B16" s="4">
        <v>4.4000000000000004</v>
      </c>
      <c r="C16" s="4">
        <v>1.1000000000000001</v>
      </c>
      <c r="D16" s="4">
        <v>0</v>
      </c>
      <c r="E16" s="4">
        <v>2.1</v>
      </c>
      <c r="F16" s="4">
        <v>2.6</v>
      </c>
      <c r="G16" s="4">
        <v>6.6</v>
      </c>
      <c r="H16" s="4">
        <v>8.4</v>
      </c>
      <c r="I16" s="4">
        <v>1.4</v>
      </c>
      <c r="J16" s="4">
        <v>3.6</v>
      </c>
      <c r="K16" s="4">
        <v>0</v>
      </c>
      <c r="L16" s="4">
        <v>5</v>
      </c>
      <c r="M16" s="4">
        <v>0.9</v>
      </c>
      <c r="N16" s="4">
        <v>10.4</v>
      </c>
      <c r="O16" s="4">
        <v>212.1</v>
      </c>
      <c r="P16" s="4">
        <v>736.3</v>
      </c>
      <c r="Q16" s="4">
        <v>553.79999999999995</v>
      </c>
      <c r="R16" s="4">
        <v>11.8</v>
      </c>
      <c r="S16" s="4">
        <v>349.5</v>
      </c>
      <c r="T16" s="4">
        <v>33</v>
      </c>
      <c r="U16" s="4">
        <v>47.2</v>
      </c>
      <c r="V16" s="4">
        <v>20.6</v>
      </c>
      <c r="W16" s="4">
        <v>42.6</v>
      </c>
      <c r="X16" s="4">
        <v>1.6</v>
      </c>
      <c r="Y16" s="4">
        <v>0.5</v>
      </c>
      <c r="Z16" s="4">
        <v>591.4</v>
      </c>
      <c r="AA16" s="4">
        <v>23.5</v>
      </c>
      <c r="AB16" s="4">
        <v>1.6</v>
      </c>
      <c r="AC16" s="4">
        <v>0.3</v>
      </c>
      <c r="AD16" s="4">
        <v>1.1000000000000001</v>
      </c>
      <c r="AE16" s="4">
        <v>0.4</v>
      </c>
      <c r="AF16" s="4">
        <v>0.1</v>
      </c>
      <c r="AG16" s="4">
        <v>0.4</v>
      </c>
      <c r="AH16" s="4">
        <v>2.2999999999999998</v>
      </c>
      <c r="AI16" s="4">
        <v>0.4</v>
      </c>
      <c r="AJ16" s="4">
        <v>0.3</v>
      </c>
      <c r="AK16" s="4">
        <v>0.3</v>
      </c>
      <c r="AL16" s="4">
        <v>0.7</v>
      </c>
      <c r="AM16" s="4">
        <v>1.9</v>
      </c>
      <c r="AN16" s="4">
        <v>0.7</v>
      </c>
      <c r="AO16" s="4">
        <v>1.7</v>
      </c>
      <c r="AP16" s="4">
        <v>1.8</v>
      </c>
      <c r="AQ16" s="4">
        <v>1.1000000000000001</v>
      </c>
      <c r="AR16" s="4">
        <v>0.3</v>
      </c>
      <c r="AS16" s="4">
        <v>0.7</v>
      </c>
      <c r="AT16" s="4">
        <v>0</v>
      </c>
    </row>
    <row r="17" spans="1:46" x14ac:dyDescent="0.25">
      <c r="A17" s="3" t="s">
        <v>61</v>
      </c>
      <c r="B17" s="5">
        <v>3.5</v>
      </c>
      <c r="C17" s="5">
        <v>0.5</v>
      </c>
      <c r="D17" s="5">
        <v>0</v>
      </c>
      <c r="E17" s="5">
        <v>12.3</v>
      </c>
      <c r="F17" s="5">
        <v>5.4</v>
      </c>
      <c r="G17" s="5">
        <v>177.8</v>
      </c>
      <c r="H17" s="5">
        <v>84.8</v>
      </c>
      <c r="I17" s="5">
        <v>11</v>
      </c>
      <c r="J17" s="5">
        <v>5.6</v>
      </c>
      <c r="K17" s="5">
        <v>0.1</v>
      </c>
      <c r="L17" s="5">
        <v>31.7</v>
      </c>
      <c r="M17" s="5">
        <v>8.6</v>
      </c>
      <c r="N17" s="5">
        <v>5.0999999999999996</v>
      </c>
      <c r="O17" s="5">
        <v>61.3</v>
      </c>
      <c r="P17" s="5">
        <v>57.7</v>
      </c>
      <c r="Q17" s="5">
        <v>264.5</v>
      </c>
      <c r="R17" s="5">
        <v>8.9</v>
      </c>
      <c r="S17" s="5">
        <v>43.5</v>
      </c>
      <c r="T17" s="5">
        <v>18.600000000000001</v>
      </c>
      <c r="U17" s="5">
        <v>69</v>
      </c>
      <c r="V17" s="5">
        <v>17.100000000000001</v>
      </c>
      <c r="W17" s="5">
        <v>37.4</v>
      </c>
      <c r="X17" s="5">
        <v>7.4</v>
      </c>
      <c r="Y17" s="5">
        <v>1.3</v>
      </c>
      <c r="Z17" s="5">
        <v>453</v>
      </c>
      <c r="AA17" s="5">
        <v>54.8</v>
      </c>
      <c r="AB17" s="5">
        <v>3.9</v>
      </c>
      <c r="AC17" s="5">
        <v>0.8</v>
      </c>
      <c r="AD17" s="5">
        <v>1.6</v>
      </c>
      <c r="AE17" s="5">
        <v>2.6</v>
      </c>
      <c r="AF17" s="5">
        <v>0.3</v>
      </c>
      <c r="AG17" s="5">
        <v>9.6</v>
      </c>
      <c r="AH17" s="5">
        <v>7.9</v>
      </c>
      <c r="AI17" s="5">
        <v>1.7</v>
      </c>
      <c r="AJ17" s="5">
        <v>0.9</v>
      </c>
      <c r="AK17" s="5">
        <v>0.8</v>
      </c>
      <c r="AL17" s="5">
        <v>1.9</v>
      </c>
      <c r="AM17" s="5">
        <v>3.1</v>
      </c>
      <c r="AN17" s="5">
        <v>2.6</v>
      </c>
      <c r="AO17" s="5">
        <v>6.3</v>
      </c>
      <c r="AP17" s="5">
        <v>2.4</v>
      </c>
      <c r="AQ17" s="5">
        <v>1.6</v>
      </c>
      <c r="AR17" s="5">
        <v>1.9</v>
      </c>
      <c r="AS17" s="5">
        <v>2.6</v>
      </c>
      <c r="AT17" s="5">
        <v>0</v>
      </c>
    </row>
    <row r="18" spans="1:46" x14ac:dyDescent="0.25">
      <c r="A18" s="3" t="s">
        <v>62</v>
      </c>
      <c r="B18" s="4">
        <v>3.3</v>
      </c>
      <c r="C18" s="4">
        <v>0.3</v>
      </c>
      <c r="D18" s="4">
        <v>0</v>
      </c>
      <c r="E18" s="4">
        <v>0.5</v>
      </c>
      <c r="F18" s="4">
        <v>0.7</v>
      </c>
      <c r="G18" s="4">
        <v>5.8</v>
      </c>
      <c r="H18" s="4">
        <v>3.2</v>
      </c>
      <c r="I18" s="4">
        <v>0.2</v>
      </c>
      <c r="J18" s="4">
        <v>0.7</v>
      </c>
      <c r="K18" s="4">
        <v>0</v>
      </c>
      <c r="L18" s="4">
        <v>4.3</v>
      </c>
      <c r="M18" s="4">
        <v>1.7</v>
      </c>
      <c r="N18" s="4">
        <v>2.1</v>
      </c>
      <c r="O18" s="4">
        <v>1.9</v>
      </c>
      <c r="P18" s="4">
        <v>0.7</v>
      </c>
      <c r="Q18" s="4">
        <v>4.7</v>
      </c>
      <c r="R18" s="4">
        <v>188.3</v>
      </c>
      <c r="S18" s="4">
        <v>18.399999999999999</v>
      </c>
      <c r="T18" s="4">
        <v>2.2000000000000002</v>
      </c>
      <c r="U18" s="4">
        <v>10</v>
      </c>
      <c r="V18" s="4">
        <v>4.7</v>
      </c>
      <c r="W18" s="4">
        <v>5</v>
      </c>
      <c r="X18" s="4">
        <v>9.1999999999999993</v>
      </c>
      <c r="Y18" s="4">
        <v>1.6</v>
      </c>
      <c r="Z18" s="4">
        <v>15.1</v>
      </c>
      <c r="AA18" s="4">
        <v>13.1</v>
      </c>
      <c r="AB18" s="4">
        <v>2.1</v>
      </c>
      <c r="AC18" s="4">
        <v>0.4</v>
      </c>
      <c r="AD18" s="4">
        <v>1.6</v>
      </c>
      <c r="AE18" s="4">
        <v>1.2</v>
      </c>
      <c r="AF18" s="4">
        <v>5</v>
      </c>
      <c r="AG18" s="4">
        <v>0.6</v>
      </c>
      <c r="AH18" s="4">
        <v>7.7</v>
      </c>
      <c r="AI18" s="4">
        <v>75.099999999999994</v>
      </c>
      <c r="AJ18" s="4">
        <v>3.3</v>
      </c>
      <c r="AK18" s="4">
        <v>0.5</v>
      </c>
      <c r="AL18" s="4">
        <v>0.6</v>
      </c>
      <c r="AM18" s="4">
        <v>3.5</v>
      </c>
      <c r="AN18" s="4">
        <v>1.8</v>
      </c>
      <c r="AO18" s="4">
        <v>43.3</v>
      </c>
      <c r="AP18" s="4">
        <v>36.6</v>
      </c>
      <c r="AQ18" s="4">
        <v>37.9</v>
      </c>
      <c r="AR18" s="4">
        <v>0.8</v>
      </c>
      <c r="AS18" s="4">
        <v>1.7</v>
      </c>
      <c r="AT18" s="4">
        <v>0</v>
      </c>
    </row>
    <row r="19" spans="1:46" x14ac:dyDescent="0.25">
      <c r="A19" s="3" t="s">
        <v>63</v>
      </c>
      <c r="B19" s="5">
        <v>2.6</v>
      </c>
      <c r="C19" s="5">
        <v>0.3</v>
      </c>
      <c r="D19" s="5">
        <v>0</v>
      </c>
      <c r="E19" s="5">
        <v>1.5</v>
      </c>
      <c r="F19" s="5">
        <v>1</v>
      </c>
      <c r="G19" s="5">
        <v>7</v>
      </c>
      <c r="H19" s="5">
        <v>5.2</v>
      </c>
      <c r="I19" s="5">
        <v>0.3</v>
      </c>
      <c r="J19" s="5">
        <v>0.8</v>
      </c>
      <c r="K19" s="5">
        <v>0.1</v>
      </c>
      <c r="L19" s="5">
        <v>57.1</v>
      </c>
      <c r="M19" s="5">
        <v>12.5</v>
      </c>
      <c r="N19" s="5">
        <v>4.5</v>
      </c>
      <c r="O19" s="5">
        <v>6.5</v>
      </c>
      <c r="P19" s="5">
        <v>5.6</v>
      </c>
      <c r="Q19" s="5">
        <v>15.9</v>
      </c>
      <c r="R19" s="5">
        <v>167.2</v>
      </c>
      <c r="S19" s="5">
        <v>687.3</v>
      </c>
      <c r="T19" s="5">
        <v>3.5</v>
      </c>
      <c r="U19" s="5">
        <v>175.4</v>
      </c>
      <c r="V19" s="5">
        <v>3.4</v>
      </c>
      <c r="W19" s="5">
        <v>9.8000000000000007</v>
      </c>
      <c r="X19" s="5">
        <v>42</v>
      </c>
      <c r="Y19" s="5">
        <v>4.4000000000000004</v>
      </c>
      <c r="Z19" s="5">
        <v>182.4</v>
      </c>
      <c r="AA19" s="5">
        <v>95.1</v>
      </c>
      <c r="AB19" s="5">
        <v>8.3000000000000007</v>
      </c>
      <c r="AC19" s="5">
        <v>1</v>
      </c>
      <c r="AD19" s="5">
        <v>2.4</v>
      </c>
      <c r="AE19" s="5">
        <v>4.3</v>
      </c>
      <c r="AF19" s="5">
        <v>1.5</v>
      </c>
      <c r="AG19" s="5">
        <v>0.6</v>
      </c>
      <c r="AH19" s="5">
        <v>3.9</v>
      </c>
      <c r="AI19" s="5">
        <v>18.3</v>
      </c>
      <c r="AJ19" s="5">
        <v>1.4</v>
      </c>
      <c r="AK19" s="5">
        <v>0.4</v>
      </c>
      <c r="AL19" s="5">
        <v>1.4</v>
      </c>
      <c r="AM19" s="5">
        <v>3.2</v>
      </c>
      <c r="AN19" s="5">
        <v>2.1</v>
      </c>
      <c r="AO19" s="5">
        <v>2.2000000000000002</v>
      </c>
      <c r="AP19" s="5">
        <v>2.5</v>
      </c>
      <c r="AQ19" s="5">
        <v>1.9</v>
      </c>
      <c r="AR19" s="5">
        <v>0.6</v>
      </c>
      <c r="AS19" s="5">
        <v>1.1000000000000001</v>
      </c>
      <c r="AT19" s="5">
        <v>0</v>
      </c>
    </row>
    <row r="20" spans="1:46" x14ac:dyDescent="0.25">
      <c r="A20" s="3" t="s">
        <v>64</v>
      </c>
      <c r="B20" s="4">
        <v>40.299999999999997</v>
      </c>
      <c r="C20" s="4">
        <v>0.9</v>
      </c>
      <c r="D20" s="4">
        <v>0</v>
      </c>
      <c r="E20" s="4">
        <v>28.9</v>
      </c>
      <c r="F20" s="4">
        <v>8.5</v>
      </c>
      <c r="G20" s="4">
        <v>25.4</v>
      </c>
      <c r="H20" s="4">
        <v>40.9</v>
      </c>
      <c r="I20" s="4">
        <v>1.6</v>
      </c>
      <c r="J20" s="4">
        <v>0.9</v>
      </c>
      <c r="K20" s="4">
        <v>0.1</v>
      </c>
      <c r="L20" s="4">
        <v>14.1</v>
      </c>
      <c r="M20" s="4">
        <v>5</v>
      </c>
      <c r="N20" s="4">
        <v>1.6</v>
      </c>
      <c r="O20" s="4">
        <v>22.9</v>
      </c>
      <c r="P20" s="4">
        <v>13.7</v>
      </c>
      <c r="Q20" s="4">
        <v>11.3</v>
      </c>
      <c r="R20" s="4">
        <v>7.6</v>
      </c>
      <c r="S20" s="4">
        <v>18.5</v>
      </c>
      <c r="T20" s="4">
        <v>34.799999999999997</v>
      </c>
      <c r="U20" s="4">
        <v>64.2</v>
      </c>
      <c r="V20" s="4">
        <v>10.1</v>
      </c>
      <c r="W20" s="4">
        <v>21.4</v>
      </c>
      <c r="X20" s="4">
        <v>45.6</v>
      </c>
      <c r="Y20" s="4">
        <v>8.6</v>
      </c>
      <c r="Z20" s="4">
        <v>82</v>
      </c>
      <c r="AA20" s="4">
        <v>82.9</v>
      </c>
      <c r="AB20" s="4">
        <v>4.2</v>
      </c>
      <c r="AC20" s="4">
        <v>1</v>
      </c>
      <c r="AD20" s="4">
        <v>2.8</v>
      </c>
      <c r="AE20" s="4">
        <v>2.4</v>
      </c>
      <c r="AF20" s="4">
        <v>0.4</v>
      </c>
      <c r="AG20" s="4">
        <v>1.1000000000000001</v>
      </c>
      <c r="AH20" s="4">
        <v>17.2</v>
      </c>
      <c r="AI20" s="4">
        <v>1.7</v>
      </c>
      <c r="AJ20" s="4">
        <v>2.9</v>
      </c>
      <c r="AK20" s="4">
        <v>0.4</v>
      </c>
      <c r="AL20" s="4">
        <v>4.5</v>
      </c>
      <c r="AM20" s="4">
        <v>10.1</v>
      </c>
      <c r="AN20" s="4">
        <v>12.9</v>
      </c>
      <c r="AO20" s="4">
        <v>5.3</v>
      </c>
      <c r="AP20" s="4">
        <v>19.3</v>
      </c>
      <c r="AQ20" s="4">
        <v>12.9</v>
      </c>
      <c r="AR20" s="4">
        <v>4.3</v>
      </c>
      <c r="AS20" s="4">
        <v>7.4</v>
      </c>
      <c r="AT20" s="4">
        <v>0</v>
      </c>
    </row>
    <row r="21" spans="1:46" x14ac:dyDescent="0.25">
      <c r="A21" s="3" t="s">
        <v>65</v>
      </c>
      <c r="B21" s="5">
        <v>5.0999999999999996</v>
      </c>
      <c r="C21" s="5">
        <v>1</v>
      </c>
      <c r="D21" s="5">
        <v>0</v>
      </c>
      <c r="E21" s="5">
        <v>1.7</v>
      </c>
      <c r="F21" s="5">
        <v>1.4</v>
      </c>
      <c r="G21" s="5">
        <v>14.9</v>
      </c>
      <c r="H21" s="5">
        <v>8.9</v>
      </c>
      <c r="I21" s="5">
        <v>0.5</v>
      </c>
      <c r="J21" s="5">
        <v>0.8</v>
      </c>
      <c r="K21" s="5">
        <v>0</v>
      </c>
      <c r="L21" s="5">
        <v>4.8</v>
      </c>
      <c r="M21" s="5">
        <v>1.6</v>
      </c>
      <c r="N21" s="5">
        <v>1.3</v>
      </c>
      <c r="O21" s="5">
        <v>4.5999999999999996</v>
      </c>
      <c r="P21" s="5">
        <v>3.6</v>
      </c>
      <c r="Q21" s="5">
        <v>24.8</v>
      </c>
      <c r="R21" s="5">
        <v>3.9</v>
      </c>
      <c r="S21" s="5">
        <v>13.6</v>
      </c>
      <c r="T21" s="5">
        <v>2.5</v>
      </c>
      <c r="U21" s="5">
        <v>1587.1</v>
      </c>
      <c r="V21" s="5">
        <v>3</v>
      </c>
      <c r="W21" s="5">
        <v>14.9</v>
      </c>
      <c r="X21" s="5">
        <v>3.8</v>
      </c>
      <c r="Y21" s="5">
        <v>0.7</v>
      </c>
      <c r="Z21" s="5">
        <v>14.7</v>
      </c>
      <c r="AA21" s="5">
        <v>178.4</v>
      </c>
      <c r="AB21" s="5">
        <v>73.900000000000006</v>
      </c>
      <c r="AC21" s="5">
        <v>2.4</v>
      </c>
      <c r="AD21" s="5">
        <v>13.6</v>
      </c>
      <c r="AE21" s="5">
        <v>15.3</v>
      </c>
      <c r="AF21" s="5">
        <v>21.6</v>
      </c>
      <c r="AG21" s="5">
        <v>1.6</v>
      </c>
      <c r="AH21" s="5">
        <v>2</v>
      </c>
      <c r="AI21" s="5">
        <v>27.6</v>
      </c>
      <c r="AJ21" s="5">
        <v>0.9</v>
      </c>
      <c r="AK21" s="5">
        <v>3.1</v>
      </c>
      <c r="AL21" s="5">
        <v>1.5</v>
      </c>
      <c r="AM21" s="5">
        <v>4</v>
      </c>
      <c r="AN21" s="5">
        <v>5.5</v>
      </c>
      <c r="AO21" s="5">
        <v>33</v>
      </c>
      <c r="AP21" s="5">
        <v>6.8</v>
      </c>
      <c r="AQ21" s="5">
        <v>5.2</v>
      </c>
      <c r="AR21" s="5">
        <v>0.4</v>
      </c>
      <c r="AS21" s="5">
        <v>0.6</v>
      </c>
      <c r="AT21" s="5">
        <v>0</v>
      </c>
    </row>
    <row r="22" spans="1:46" x14ac:dyDescent="0.25">
      <c r="A22" s="3" t="s">
        <v>66</v>
      </c>
      <c r="B22" s="4">
        <v>0.6</v>
      </c>
      <c r="C22" s="4">
        <v>3</v>
      </c>
      <c r="D22" s="4">
        <v>0</v>
      </c>
      <c r="E22" s="4">
        <v>0.2</v>
      </c>
      <c r="F22" s="4">
        <v>0.1</v>
      </c>
      <c r="G22" s="4">
        <v>4.5</v>
      </c>
      <c r="H22" s="4">
        <v>1</v>
      </c>
      <c r="I22" s="4">
        <v>0.2</v>
      </c>
      <c r="J22" s="4">
        <v>0.1</v>
      </c>
      <c r="K22" s="4">
        <v>0</v>
      </c>
      <c r="L22" s="4">
        <v>0.6</v>
      </c>
      <c r="M22" s="4">
        <v>0.2</v>
      </c>
      <c r="N22" s="4">
        <v>0.1</v>
      </c>
      <c r="O22" s="4">
        <v>0.5</v>
      </c>
      <c r="P22" s="4">
        <v>0.4</v>
      </c>
      <c r="Q22" s="4">
        <v>1.2</v>
      </c>
      <c r="R22" s="4">
        <v>0.7</v>
      </c>
      <c r="S22" s="4">
        <v>2.8</v>
      </c>
      <c r="T22" s="4">
        <v>0.2</v>
      </c>
      <c r="U22" s="4">
        <v>1.9</v>
      </c>
      <c r="V22" s="4">
        <v>58.8</v>
      </c>
      <c r="W22" s="4">
        <v>7.1</v>
      </c>
      <c r="X22" s="4">
        <v>0.5</v>
      </c>
      <c r="Y22" s="4">
        <v>0.1</v>
      </c>
      <c r="Z22" s="4">
        <v>3.2</v>
      </c>
      <c r="AA22" s="4">
        <v>23.2</v>
      </c>
      <c r="AB22" s="4">
        <v>6.6</v>
      </c>
      <c r="AC22" s="4">
        <v>2.4</v>
      </c>
      <c r="AD22" s="4">
        <v>15.4</v>
      </c>
      <c r="AE22" s="4">
        <v>1.4</v>
      </c>
      <c r="AF22" s="4">
        <v>0</v>
      </c>
      <c r="AG22" s="4">
        <v>0.2</v>
      </c>
      <c r="AH22" s="4">
        <v>0.2</v>
      </c>
      <c r="AI22" s="4">
        <v>0.2</v>
      </c>
      <c r="AJ22" s="4">
        <v>0</v>
      </c>
      <c r="AK22" s="4">
        <v>0.1</v>
      </c>
      <c r="AL22" s="4">
        <v>0.1</v>
      </c>
      <c r="AM22" s="4">
        <v>0.2</v>
      </c>
      <c r="AN22" s="4">
        <v>0.2</v>
      </c>
      <c r="AO22" s="4">
        <v>74.3</v>
      </c>
      <c r="AP22" s="4">
        <v>0.6</v>
      </c>
      <c r="AQ22" s="4">
        <v>0.4</v>
      </c>
      <c r="AR22" s="4">
        <v>0</v>
      </c>
      <c r="AS22" s="4">
        <v>0.1</v>
      </c>
      <c r="AT22" s="4">
        <v>0</v>
      </c>
    </row>
    <row r="23" spans="1:46" x14ac:dyDescent="0.25">
      <c r="A23" s="3" t="s">
        <v>67</v>
      </c>
      <c r="B23" s="5">
        <v>37.5</v>
      </c>
      <c r="C23" s="5">
        <v>6.7</v>
      </c>
      <c r="D23" s="5">
        <v>0</v>
      </c>
      <c r="E23" s="5">
        <v>7.8</v>
      </c>
      <c r="F23" s="5">
        <v>2.5</v>
      </c>
      <c r="G23" s="5">
        <v>29.4</v>
      </c>
      <c r="H23" s="5">
        <v>32.700000000000003</v>
      </c>
      <c r="I23" s="5">
        <v>6.6</v>
      </c>
      <c r="J23" s="5">
        <v>3.5</v>
      </c>
      <c r="K23" s="5">
        <v>0</v>
      </c>
      <c r="L23" s="5">
        <v>13.7</v>
      </c>
      <c r="M23" s="5">
        <v>3.7</v>
      </c>
      <c r="N23" s="5">
        <v>2.6</v>
      </c>
      <c r="O23" s="5">
        <v>10.6</v>
      </c>
      <c r="P23" s="5">
        <v>6</v>
      </c>
      <c r="Q23" s="5">
        <v>9.1999999999999993</v>
      </c>
      <c r="R23" s="5">
        <v>3.2</v>
      </c>
      <c r="S23" s="5">
        <v>14.2</v>
      </c>
      <c r="T23" s="5">
        <v>1.9</v>
      </c>
      <c r="U23" s="5">
        <v>8</v>
      </c>
      <c r="V23" s="5">
        <v>3.1</v>
      </c>
      <c r="W23" s="5">
        <v>20.6</v>
      </c>
      <c r="X23" s="5">
        <v>9.6</v>
      </c>
      <c r="Y23" s="5">
        <v>1.6</v>
      </c>
      <c r="Z23" s="5">
        <v>37.299999999999997</v>
      </c>
      <c r="AA23" s="5">
        <v>22.4</v>
      </c>
      <c r="AB23" s="5">
        <v>11.5</v>
      </c>
      <c r="AC23" s="5">
        <v>2.2999999999999998</v>
      </c>
      <c r="AD23" s="5">
        <v>11.1</v>
      </c>
      <c r="AE23" s="5">
        <v>4.3</v>
      </c>
      <c r="AF23" s="5">
        <v>3.3</v>
      </c>
      <c r="AG23" s="5">
        <v>9.1</v>
      </c>
      <c r="AH23" s="5">
        <v>6.8</v>
      </c>
      <c r="AI23" s="5">
        <v>11</v>
      </c>
      <c r="AJ23" s="5">
        <v>1.4</v>
      </c>
      <c r="AK23" s="5">
        <v>2.2999999999999998</v>
      </c>
      <c r="AL23" s="5">
        <v>1.9</v>
      </c>
      <c r="AM23" s="5">
        <v>5.7</v>
      </c>
      <c r="AN23" s="5">
        <v>10.7</v>
      </c>
      <c r="AO23" s="5">
        <v>12.3</v>
      </c>
      <c r="AP23" s="5">
        <v>10.7</v>
      </c>
      <c r="AQ23" s="5">
        <v>5.8</v>
      </c>
      <c r="AR23" s="5">
        <v>2.9</v>
      </c>
      <c r="AS23" s="5">
        <v>2.2000000000000002</v>
      </c>
      <c r="AT23" s="5">
        <v>0</v>
      </c>
    </row>
    <row r="24" spans="1:46" x14ac:dyDescent="0.25">
      <c r="A24" s="3" t="s">
        <v>68</v>
      </c>
      <c r="B24" s="4">
        <v>244.4</v>
      </c>
      <c r="C24" s="4">
        <v>4.5</v>
      </c>
      <c r="D24" s="4">
        <v>0.1</v>
      </c>
      <c r="E24" s="4">
        <v>48.8</v>
      </c>
      <c r="F24" s="4">
        <v>8.3000000000000007</v>
      </c>
      <c r="G24" s="4">
        <v>174</v>
      </c>
      <c r="H24" s="4">
        <v>80.7</v>
      </c>
      <c r="I24" s="4">
        <v>5</v>
      </c>
      <c r="J24" s="4">
        <v>11.6</v>
      </c>
      <c r="K24" s="4">
        <v>0.2</v>
      </c>
      <c r="L24" s="4">
        <v>101.3</v>
      </c>
      <c r="M24" s="4">
        <v>19.100000000000001</v>
      </c>
      <c r="N24" s="4">
        <v>36.299999999999997</v>
      </c>
      <c r="O24" s="4">
        <v>166.8</v>
      </c>
      <c r="P24" s="4">
        <v>40.200000000000003</v>
      </c>
      <c r="Q24" s="4">
        <v>22.3</v>
      </c>
      <c r="R24" s="4">
        <v>15.8</v>
      </c>
      <c r="S24" s="4">
        <v>35.1</v>
      </c>
      <c r="T24" s="4">
        <v>2.7</v>
      </c>
      <c r="U24" s="4">
        <v>79</v>
      </c>
      <c r="V24" s="4">
        <v>2</v>
      </c>
      <c r="W24" s="4">
        <v>12.8</v>
      </c>
      <c r="X24" s="4">
        <v>108.9</v>
      </c>
      <c r="Y24" s="4">
        <v>6.6</v>
      </c>
      <c r="Z24" s="4">
        <v>83.6</v>
      </c>
      <c r="AA24" s="4">
        <v>189.8</v>
      </c>
      <c r="AB24" s="4">
        <v>43.9</v>
      </c>
      <c r="AC24" s="4">
        <v>3.1</v>
      </c>
      <c r="AD24" s="4">
        <v>12.4</v>
      </c>
      <c r="AE24" s="4">
        <v>32.6</v>
      </c>
      <c r="AF24" s="4">
        <v>10.4</v>
      </c>
      <c r="AG24" s="4">
        <v>89.4</v>
      </c>
      <c r="AH24" s="4">
        <v>42.8</v>
      </c>
      <c r="AI24" s="4">
        <v>93.3</v>
      </c>
      <c r="AJ24" s="4">
        <v>2.2000000000000002</v>
      </c>
      <c r="AK24" s="4">
        <v>41</v>
      </c>
      <c r="AL24" s="4">
        <v>7.8</v>
      </c>
      <c r="AM24" s="4">
        <v>5.6</v>
      </c>
      <c r="AN24" s="4">
        <v>3.4</v>
      </c>
      <c r="AO24" s="4">
        <v>310.60000000000002</v>
      </c>
      <c r="AP24" s="4">
        <v>136.30000000000001</v>
      </c>
      <c r="AQ24" s="4">
        <v>88.3</v>
      </c>
      <c r="AR24" s="4">
        <v>13</v>
      </c>
      <c r="AS24" s="4">
        <v>11.8</v>
      </c>
      <c r="AT24" s="4">
        <v>0</v>
      </c>
    </row>
    <row r="25" spans="1:46" x14ac:dyDescent="0.25">
      <c r="A25" s="3" t="s">
        <v>69</v>
      </c>
      <c r="B25" s="5">
        <v>43.7</v>
      </c>
      <c r="C25" s="5">
        <v>1.1000000000000001</v>
      </c>
      <c r="D25" s="5">
        <v>0</v>
      </c>
      <c r="E25" s="5">
        <v>8.6</v>
      </c>
      <c r="F25" s="5">
        <v>0.2</v>
      </c>
      <c r="G25" s="5">
        <v>31</v>
      </c>
      <c r="H25" s="5">
        <v>12.8</v>
      </c>
      <c r="I25" s="5">
        <v>0.7</v>
      </c>
      <c r="J25" s="5">
        <v>1.5</v>
      </c>
      <c r="K25" s="5">
        <v>0</v>
      </c>
      <c r="L25" s="5">
        <v>16.600000000000001</v>
      </c>
      <c r="M25" s="5">
        <v>4.5</v>
      </c>
      <c r="N25" s="5">
        <v>4.7</v>
      </c>
      <c r="O25" s="5">
        <v>21.8</v>
      </c>
      <c r="P25" s="5">
        <v>7.8</v>
      </c>
      <c r="Q25" s="5">
        <v>4</v>
      </c>
      <c r="R25" s="5">
        <v>2.2000000000000002</v>
      </c>
      <c r="S25" s="5">
        <v>4.7</v>
      </c>
      <c r="T25" s="5">
        <v>0.5</v>
      </c>
      <c r="U25" s="5">
        <v>10.5</v>
      </c>
      <c r="V25" s="5">
        <v>0.4</v>
      </c>
      <c r="W25" s="5">
        <v>0.9</v>
      </c>
      <c r="X25" s="5">
        <v>14.2</v>
      </c>
      <c r="Y25" s="5">
        <v>6.3</v>
      </c>
      <c r="Z25" s="5">
        <v>19.5</v>
      </c>
      <c r="AA25" s="5">
        <v>33.799999999999997</v>
      </c>
      <c r="AB25" s="5">
        <v>6.3</v>
      </c>
      <c r="AC25" s="5">
        <v>1.6</v>
      </c>
      <c r="AD25" s="5">
        <v>2.4</v>
      </c>
      <c r="AE25" s="5">
        <v>5.8</v>
      </c>
      <c r="AF25" s="5">
        <v>4</v>
      </c>
      <c r="AG25" s="5">
        <v>15.8</v>
      </c>
      <c r="AH25" s="5">
        <v>4.7</v>
      </c>
      <c r="AI25" s="5">
        <v>14.3</v>
      </c>
      <c r="AJ25" s="5">
        <v>0.3</v>
      </c>
      <c r="AK25" s="5">
        <v>7.2</v>
      </c>
      <c r="AL25" s="5">
        <v>1.6</v>
      </c>
      <c r="AM25" s="5">
        <v>0.9</v>
      </c>
      <c r="AN25" s="5">
        <v>0.7</v>
      </c>
      <c r="AO25" s="5">
        <v>60</v>
      </c>
      <c r="AP25" s="5">
        <v>24</v>
      </c>
      <c r="AQ25" s="5">
        <v>15.7</v>
      </c>
      <c r="AR25" s="5">
        <v>2.4</v>
      </c>
      <c r="AS25" s="5">
        <v>2.7</v>
      </c>
      <c r="AT25" s="5">
        <v>0</v>
      </c>
    </row>
    <row r="26" spans="1:46" x14ac:dyDescent="0.25">
      <c r="A26" s="3" t="s">
        <v>70</v>
      </c>
      <c r="B26" s="4">
        <v>48.1</v>
      </c>
      <c r="C26" s="4">
        <v>1</v>
      </c>
      <c r="D26" s="4">
        <v>0</v>
      </c>
      <c r="E26" s="4">
        <v>15</v>
      </c>
      <c r="F26" s="4">
        <v>6.6</v>
      </c>
      <c r="G26" s="4">
        <v>26.7</v>
      </c>
      <c r="H26" s="4">
        <v>10.9</v>
      </c>
      <c r="I26" s="4">
        <v>1.5</v>
      </c>
      <c r="J26" s="4">
        <v>1.1000000000000001</v>
      </c>
      <c r="K26" s="4">
        <v>0</v>
      </c>
      <c r="L26" s="4">
        <v>9.9</v>
      </c>
      <c r="M26" s="4">
        <v>3.3</v>
      </c>
      <c r="N26" s="4">
        <v>1</v>
      </c>
      <c r="O26" s="4">
        <v>10.199999999999999</v>
      </c>
      <c r="P26" s="4">
        <v>2.2000000000000002</v>
      </c>
      <c r="Q26" s="4">
        <v>2.2000000000000002</v>
      </c>
      <c r="R26" s="4">
        <v>2.6</v>
      </c>
      <c r="S26" s="4">
        <v>8.8000000000000007</v>
      </c>
      <c r="T26" s="4">
        <v>0.8</v>
      </c>
      <c r="U26" s="4">
        <v>31.1</v>
      </c>
      <c r="V26" s="4">
        <v>2.1</v>
      </c>
      <c r="W26" s="4">
        <v>4.3</v>
      </c>
      <c r="X26" s="4">
        <v>32.1</v>
      </c>
      <c r="Y26" s="4">
        <v>3.9</v>
      </c>
      <c r="Z26" s="4">
        <v>18.2</v>
      </c>
      <c r="AA26" s="4">
        <v>68.3</v>
      </c>
      <c r="AB26" s="4">
        <v>9.1</v>
      </c>
      <c r="AC26" s="4">
        <v>1.1000000000000001</v>
      </c>
      <c r="AD26" s="4">
        <v>4</v>
      </c>
      <c r="AE26" s="4">
        <v>7.7</v>
      </c>
      <c r="AF26" s="4">
        <v>1.5</v>
      </c>
      <c r="AG26" s="4">
        <v>4.2</v>
      </c>
      <c r="AH26" s="4">
        <v>6</v>
      </c>
      <c r="AI26" s="4">
        <v>7.8</v>
      </c>
      <c r="AJ26" s="4">
        <v>1.8</v>
      </c>
      <c r="AK26" s="4">
        <v>42.9</v>
      </c>
      <c r="AL26" s="4">
        <v>14.3</v>
      </c>
      <c r="AM26" s="4">
        <v>4.0999999999999996</v>
      </c>
      <c r="AN26" s="4">
        <v>2.1</v>
      </c>
      <c r="AO26" s="4">
        <v>128.30000000000001</v>
      </c>
      <c r="AP26" s="4">
        <v>52.7</v>
      </c>
      <c r="AQ26" s="4">
        <v>24.4</v>
      </c>
      <c r="AR26" s="4">
        <v>1.9</v>
      </c>
      <c r="AS26" s="4">
        <v>2</v>
      </c>
      <c r="AT26" s="4">
        <v>0</v>
      </c>
    </row>
    <row r="27" spans="1:46" x14ac:dyDescent="0.25">
      <c r="A27" s="3" t="s">
        <v>71</v>
      </c>
      <c r="B27" s="5">
        <v>792.1</v>
      </c>
      <c r="C27" s="5">
        <v>61.6</v>
      </c>
      <c r="D27" s="5">
        <v>0.1</v>
      </c>
      <c r="E27" s="5">
        <v>70.400000000000006</v>
      </c>
      <c r="F27" s="5">
        <v>16.399999999999999</v>
      </c>
      <c r="G27" s="5">
        <v>1443.1</v>
      </c>
      <c r="H27" s="5">
        <v>718.2</v>
      </c>
      <c r="I27" s="5">
        <v>37.299999999999997</v>
      </c>
      <c r="J27" s="5">
        <v>77.5</v>
      </c>
      <c r="K27" s="5">
        <v>0.9</v>
      </c>
      <c r="L27" s="5">
        <v>325.7</v>
      </c>
      <c r="M27" s="5">
        <v>102</v>
      </c>
      <c r="N27" s="5">
        <v>125.9</v>
      </c>
      <c r="O27" s="5">
        <v>176.8</v>
      </c>
      <c r="P27" s="5">
        <v>110.3</v>
      </c>
      <c r="Q27" s="5">
        <v>159.69999999999999</v>
      </c>
      <c r="R27" s="5">
        <v>96.5</v>
      </c>
      <c r="S27" s="5">
        <v>258</v>
      </c>
      <c r="T27" s="5">
        <v>31.9</v>
      </c>
      <c r="U27" s="5">
        <v>499</v>
      </c>
      <c r="V27" s="5">
        <v>23.2</v>
      </c>
      <c r="W27" s="5">
        <v>89.2</v>
      </c>
      <c r="X27" s="5">
        <v>109.7</v>
      </c>
      <c r="Y27" s="5">
        <v>15.3</v>
      </c>
      <c r="Z27" s="5">
        <v>732.1</v>
      </c>
      <c r="AA27" s="5">
        <v>405.9</v>
      </c>
      <c r="AB27" s="5">
        <v>259.3</v>
      </c>
      <c r="AC27" s="5">
        <v>41.7</v>
      </c>
      <c r="AD27" s="5">
        <v>155.4</v>
      </c>
      <c r="AE27" s="5">
        <v>56.3</v>
      </c>
      <c r="AF27" s="5">
        <v>20.5</v>
      </c>
      <c r="AG27" s="5">
        <v>128.19999999999999</v>
      </c>
      <c r="AH27" s="5">
        <v>61.1</v>
      </c>
      <c r="AI27" s="5">
        <v>60.4</v>
      </c>
      <c r="AJ27" s="5">
        <v>7.8</v>
      </c>
      <c r="AK27" s="5">
        <v>18.600000000000001</v>
      </c>
      <c r="AL27" s="5">
        <v>15.1</v>
      </c>
      <c r="AM27" s="5">
        <v>26.8</v>
      </c>
      <c r="AN27" s="5">
        <v>26.8</v>
      </c>
      <c r="AO27" s="5">
        <v>954.7</v>
      </c>
      <c r="AP27" s="5">
        <v>122.2</v>
      </c>
      <c r="AQ27" s="5">
        <v>102.5</v>
      </c>
      <c r="AR27" s="5">
        <v>12.4</v>
      </c>
      <c r="AS27" s="5">
        <v>18.7</v>
      </c>
      <c r="AT27" s="5">
        <v>0</v>
      </c>
    </row>
    <row r="28" spans="1:46" x14ac:dyDescent="0.25">
      <c r="A28" s="3" t="s">
        <v>72</v>
      </c>
      <c r="B28" s="4">
        <v>210.5</v>
      </c>
      <c r="C28" s="4">
        <v>15</v>
      </c>
      <c r="D28" s="4">
        <v>0.1</v>
      </c>
      <c r="E28" s="4">
        <v>51.8</v>
      </c>
      <c r="F28" s="4">
        <v>8.3000000000000007</v>
      </c>
      <c r="G28" s="4">
        <v>331.2</v>
      </c>
      <c r="H28" s="4">
        <v>133.9</v>
      </c>
      <c r="I28" s="4">
        <v>11.4</v>
      </c>
      <c r="J28" s="4">
        <v>30.3</v>
      </c>
      <c r="K28" s="4">
        <v>0.9</v>
      </c>
      <c r="L28" s="4">
        <v>200.9</v>
      </c>
      <c r="M28" s="4">
        <v>30.6</v>
      </c>
      <c r="N28" s="4">
        <v>28.7</v>
      </c>
      <c r="O28" s="4">
        <v>70.8</v>
      </c>
      <c r="P28" s="4">
        <v>51.8</v>
      </c>
      <c r="Q28" s="4">
        <v>59.7</v>
      </c>
      <c r="R28" s="4">
        <v>20.8</v>
      </c>
      <c r="S28" s="4">
        <v>81.099999999999994</v>
      </c>
      <c r="T28" s="4">
        <v>7.6</v>
      </c>
      <c r="U28" s="4">
        <v>33.799999999999997</v>
      </c>
      <c r="V28" s="4">
        <v>6.3</v>
      </c>
      <c r="W28" s="4">
        <v>21.9</v>
      </c>
      <c r="X28" s="4">
        <v>96.8</v>
      </c>
      <c r="Y28" s="4">
        <v>12.2</v>
      </c>
      <c r="Z28" s="4">
        <v>251.5</v>
      </c>
      <c r="AA28" s="4">
        <v>149</v>
      </c>
      <c r="AB28" s="4">
        <v>65.7</v>
      </c>
      <c r="AC28" s="4">
        <v>11</v>
      </c>
      <c r="AD28" s="4">
        <v>34.9</v>
      </c>
      <c r="AE28" s="4">
        <v>17.899999999999999</v>
      </c>
      <c r="AF28" s="4">
        <v>4.4000000000000004</v>
      </c>
      <c r="AG28" s="4">
        <v>25.6</v>
      </c>
      <c r="AH28" s="4">
        <v>31.8</v>
      </c>
      <c r="AI28" s="4">
        <v>10.4</v>
      </c>
      <c r="AJ28" s="4">
        <v>1.3</v>
      </c>
      <c r="AK28" s="4">
        <v>14.9</v>
      </c>
      <c r="AL28" s="4">
        <v>2.4</v>
      </c>
      <c r="AM28" s="4">
        <v>4.8</v>
      </c>
      <c r="AN28" s="4">
        <v>4.2</v>
      </c>
      <c r="AO28" s="4">
        <v>98.9</v>
      </c>
      <c r="AP28" s="4">
        <v>62.6</v>
      </c>
      <c r="AQ28" s="4">
        <v>33.4</v>
      </c>
      <c r="AR28" s="4">
        <v>7</v>
      </c>
      <c r="AS28" s="4">
        <v>11.2</v>
      </c>
      <c r="AT28" s="4">
        <v>0</v>
      </c>
    </row>
    <row r="29" spans="1:46" x14ac:dyDescent="0.25">
      <c r="A29" s="3" t="s">
        <v>73</v>
      </c>
      <c r="B29" s="5">
        <v>118.5</v>
      </c>
      <c r="C29" s="5">
        <v>21.6</v>
      </c>
      <c r="D29" s="5">
        <v>0.3</v>
      </c>
      <c r="E29" s="5">
        <v>158.5</v>
      </c>
      <c r="F29" s="5">
        <v>7</v>
      </c>
      <c r="G29" s="5">
        <v>96.6</v>
      </c>
      <c r="H29" s="5">
        <v>22.2</v>
      </c>
      <c r="I29" s="5">
        <v>6.2</v>
      </c>
      <c r="J29" s="5">
        <v>9.3000000000000007</v>
      </c>
      <c r="K29" s="5">
        <v>0.3</v>
      </c>
      <c r="L29" s="5">
        <v>37.4</v>
      </c>
      <c r="M29" s="5">
        <v>7.9</v>
      </c>
      <c r="N29" s="5">
        <v>5.3</v>
      </c>
      <c r="O29" s="5">
        <v>38.4</v>
      </c>
      <c r="P29" s="5">
        <v>3.7</v>
      </c>
      <c r="Q29" s="5">
        <v>13.9</v>
      </c>
      <c r="R29" s="5">
        <v>16.7</v>
      </c>
      <c r="S29" s="5">
        <v>43.4</v>
      </c>
      <c r="T29" s="5">
        <v>2.1</v>
      </c>
      <c r="U29" s="5">
        <v>6.8</v>
      </c>
      <c r="V29" s="5">
        <v>1.5</v>
      </c>
      <c r="W29" s="5">
        <v>7.4</v>
      </c>
      <c r="X29" s="5">
        <v>6.9</v>
      </c>
      <c r="Y29" s="5">
        <v>1.3</v>
      </c>
      <c r="Z29" s="5">
        <v>15.6</v>
      </c>
      <c r="AA29" s="5">
        <v>244.8</v>
      </c>
      <c r="AB29" s="5">
        <v>97.6</v>
      </c>
      <c r="AC29" s="5">
        <v>175.3</v>
      </c>
      <c r="AD29" s="5">
        <v>32.299999999999997</v>
      </c>
      <c r="AE29" s="5">
        <v>98.6</v>
      </c>
      <c r="AF29" s="5">
        <v>3.6</v>
      </c>
      <c r="AG29" s="5">
        <v>2.5</v>
      </c>
      <c r="AH29" s="5">
        <v>35.1</v>
      </c>
      <c r="AI29" s="5">
        <v>5.4</v>
      </c>
      <c r="AJ29" s="5">
        <v>0.5</v>
      </c>
      <c r="AK29" s="5">
        <v>24</v>
      </c>
      <c r="AL29" s="5">
        <v>0.6</v>
      </c>
      <c r="AM29" s="5">
        <v>1.5</v>
      </c>
      <c r="AN29" s="5">
        <v>2.2999999999999998</v>
      </c>
      <c r="AO29" s="5">
        <v>82.1</v>
      </c>
      <c r="AP29" s="5">
        <v>47.2</v>
      </c>
      <c r="AQ29" s="5">
        <v>26.6</v>
      </c>
      <c r="AR29" s="5">
        <v>10</v>
      </c>
      <c r="AS29" s="5">
        <v>12.9</v>
      </c>
      <c r="AT29" s="5">
        <v>0</v>
      </c>
    </row>
    <row r="30" spans="1:46" x14ac:dyDescent="0.25">
      <c r="A30" s="3" t="s">
        <v>74</v>
      </c>
      <c r="B30" s="4">
        <v>31</v>
      </c>
      <c r="C30" s="4">
        <v>1.9</v>
      </c>
      <c r="D30" s="4">
        <v>0</v>
      </c>
      <c r="E30" s="4">
        <v>19.600000000000001</v>
      </c>
      <c r="F30" s="4">
        <v>0.9</v>
      </c>
      <c r="G30" s="4">
        <v>37.700000000000003</v>
      </c>
      <c r="H30" s="4">
        <v>11.6</v>
      </c>
      <c r="I30" s="4">
        <v>1.2</v>
      </c>
      <c r="J30" s="4">
        <v>2.6</v>
      </c>
      <c r="K30" s="4">
        <v>0.1</v>
      </c>
      <c r="L30" s="4">
        <v>13.9</v>
      </c>
      <c r="M30" s="4">
        <v>4.5</v>
      </c>
      <c r="N30" s="4">
        <v>2.4</v>
      </c>
      <c r="O30" s="4">
        <v>7.5</v>
      </c>
      <c r="P30" s="4">
        <v>2.8</v>
      </c>
      <c r="Q30" s="4">
        <v>5</v>
      </c>
      <c r="R30" s="4">
        <v>5.4</v>
      </c>
      <c r="S30" s="4">
        <v>11.2</v>
      </c>
      <c r="T30" s="4">
        <v>0.7</v>
      </c>
      <c r="U30" s="4">
        <v>2.9</v>
      </c>
      <c r="V30" s="4">
        <v>0.6</v>
      </c>
      <c r="W30" s="4">
        <v>3.4</v>
      </c>
      <c r="X30" s="4">
        <v>5.9</v>
      </c>
      <c r="Y30" s="4">
        <v>0.8</v>
      </c>
      <c r="Z30" s="4">
        <v>14.7</v>
      </c>
      <c r="AA30" s="4">
        <v>40.200000000000003</v>
      </c>
      <c r="AB30" s="4">
        <v>11.4</v>
      </c>
      <c r="AC30" s="4">
        <v>2.9</v>
      </c>
      <c r="AD30" s="4">
        <v>43.2</v>
      </c>
      <c r="AE30" s="4">
        <v>12.1</v>
      </c>
      <c r="AF30" s="4">
        <v>2.1</v>
      </c>
      <c r="AG30" s="4">
        <v>2.5</v>
      </c>
      <c r="AH30" s="4">
        <v>20.8</v>
      </c>
      <c r="AI30" s="4">
        <v>3.1</v>
      </c>
      <c r="AJ30" s="4">
        <v>0.4</v>
      </c>
      <c r="AK30" s="4">
        <v>26.6</v>
      </c>
      <c r="AL30" s="4">
        <v>0.5</v>
      </c>
      <c r="AM30" s="4">
        <v>1</v>
      </c>
      <c r="AN30" s="4">
        <v>1.4</v>
      </c>
      <c r="AO30" s="4">
        <v>72.599999999999994</v>
      </c>
      <c r="AP30" s="4">
        <v>35.6</v>
      </c>
      <c r="AQ30" s="4">
        <v>18.7</v>
      </c>
      <c r="AR30" s="4">
        <v>5.0999999999999996</v>
      </c>
      <c r="AS30" s="4">
        <v>7.7</v>
      </c>
      <c r="AT30" s="4">
        <v>0</v>
      </c>
    </row>
    <row r="31" spans="1:46" x14ac:dyDescent="0.25">
      <c r="A31" s="3" t="s">
        <v>75</v>
      </c>
      <c r="B31" s="5">
        <v>89.5</v>
      </c>
      <c r="C31" s="5">
        <v>5.5</v>
      </c>
      <c r="D31" s="5">
        <v>0.1</v>
      </c>
      <c r="E31" s="5">
        <v>40.5</v>
      </c>
      <c r="F31" s="5">
        <v>2.9</v>
      </c>
      <c r="G31" s="5">
        <v>105.7</v>
      </c>
      <c r="H31" s="5">
        <v>30.9</v>
      </c>
      <c r="I31" s="5">
        <v>3.8</v>
      </c>
      <c r="J31" s="5">
        <v>7</v>
      </c>
      <c r="K31" s="5">
        <v>0.3</v>
      </c>
      <c r="L31" s="5">
        <v>34.6</v>
      </c>
      <c r="M31" s="5">
        <v>8.1</v>
      </c>
      <c r="N31" s="5">
        <v>6.9</v>
      </c>
      <c r="O31" s="5">
        <v>25.2</v>
      </c>
      <c r="P31" s="5">
        <v>7.5</v>
      </c>
      <c r="Q31" s="5">
        <v>11.8</v>
      </c>
      <c r="R31" s="5">
        <v>8.5</v>
      </c>
      <c r="S31" s="5">
        <v>25.3</v>
      </c>
      <c r="T31" s="5">
        <v>1.8</v>
      </c>
      <c r="U31" s="5">
        <v>8.3000000000000007</v>
      </c>
      <c r="V31" s="5">
        <v>1.3</v>
      </c>
      <c r="W31" s="5">
        <v>7.1</v>
      </c>
      <c r="X31" s="5">
        <v>29.2</v>
      </c>
      <c r="Y31" s="5">
        <v>3.7</v>
      </c>
      <c r="Z31" s="5">
        <v>37</v>
      </c>
      <c r="AA31" s="5">
        <v>151.30000000000001</v>
      </c>
      <c r="AB31" s="5">
        <v>77.900000000000006</v>
      </c>
      <c r="AC31" s="5">
        <v>36</v>
      </c>
      <c r="AD31" s="5">
        <v>80.7</v>
      </c>
      <c r="AE31" s="5">
        <v>77.599999999999994</v>
      </c>
      <c r="AF31" s="5">
        <v>3.4</v>
      </c>
      <c r="AG31" s="5">
        <v>4.0999999999999996</v>
      </c>
      <c r="AH31" s="5">
        <v>26.9</v>
      </c>
      <c r="AI31" s="5">
        <v>4.9000000000000004</v>
      </c>
      <c r="AJ31" s="5">
        <v>0.5</v>
      </c>
      <c r="AK31" s="5">
        <v>13.2</v>
      </c>
      <c r="AL31" s="5">
        <v>0.7</v>
      </c>
      <c r="AM31" s="5">
        <v>1.5</v>
      </c>
      <c r="AN31" s="5">
        <v>1.8</v>
      </c>
      <c r="AO31" s="5">
        <v>51.1</v>
      </c>
      <c r="AP31" s="5">
        <v>20.5</v>
      </c>
      <c r="AQ31" s="5">
        <v>14.9</v>
      </c>
      <c r="AR31" s="5">
        <v>4.7</v>
      </c>
      <c r="AS31" s="5">
        <v>8.1999999999999993</v>
      </c>
      <c r="AT31" s="5">
        <v>0</v>
      </c>
    </row>
    <row r="32" spans="1:46" x14ac:dyDescent="0.25">
      <c r="A32" s="3" t="s">
        <v>76</v>
      </c>
      <c r="B32" s="4">
        <v>2.2000000000000002</v>
      </c>
      <c r="C32" s="4">
        <v>0.4</v>
      </c>
      <c r="D32" s="4">
        <v>0</v>
      </c>
      <c r="E32" s="4">
        <v>0.4</v>
      </c>
      <c r="F32" s="4">
        <v>0.3</v>
      </c>
      <c r="G32" s="4">
        <v>4.2</v>
      </c>
      <c r="H32" s="4">
        <v>1.8</v>
      </c>
      <c r="I32" s="4">
        <v>0.2</v>
      </c>
      <c r="J32" s="4">
        <v>0.6</v>
      </c>
      <c r="K32" s="4">
        <v>0</v>
      </c>
      <c r="L32" s="4">
        <v>2.2999999999999998</v>
      </c>
      <c r="M32" s="4">
        <v>1.2</v>
      </c>
      <c r="N32" s="4">
        <v>0.3</v>
      </c>
      <c r="O32" s="4">
        <v>0.9</v>
      </c>
      <c r="P32" s="4">
        <v>0.2</v>
      </c>
      <c r="Q32" s="4">
        <v>1.1000000000000001</v>
      </c>
      <c r="R32" s="4">
        <v>0.2</v>
      </c>
      <c r="S32" s="4">
        <v>1.3</v>
      </c>
      <c r="T32" s="4">
        <v>0.2</v>
      </c>
      <c r="U32" s="4">
        <v>1.4</v>
      </c>
      <c r="V32" s="4">
        <v>0.3</v>
      </c>
      <c r="W32" s="4">
        <v>0.7</v>
      </c>
      <c r="X32" s="4">
        <v>2.7</v>
      </c>
      <c r="Y32" s="4">
        <v>0.4</v>
      </c>
      <c r="Z32" s="4">
        <v>3.3</v>
      </c>
      <c r="AA32" s="4">
        <v>25.4</v>
      </c>
      <c r="AB32" s="4">
        <v>2.9</v>
      </c>
      <c r="AC32" s="4">
        <v>0.5</v>
      </c>
      <c r="AD32" s="4">
        <v>1.2</v>
      </c>
      <c r="AE32" s="4">
        <v>2.8</v>
      </c>
      <c r="AF32" s="4">
        <v>8.3000000000000007</v>
      </c>
      <c r="AG32" s="4">
        <v>1.2</v>
      </c>
      <c r="AH32" s="4">
        <v>1.8</v>
      </c>
      <c r="AI32" s="4">
        <v>7.9</v>
      </c>
      <c r="AJ32" s="4">
        <v>0.6</v>
      </c>
      <c r="AK32" s="4">
        <v>13.3</v>
      </c>
      <c r="AL32" s="4">
        <v>1.2</v>
      </c>
      <c r="AM32" s="4">
        <v>1.8</v>
      </c>
      <c r="AN32" s="4">
        <v>1.3</v>
      </c>
      <c r="AO32" s="4">
        <v>53.2</v>
      </c>
      <c r="AP32" s="4">
        <v>11.9</v>
      </c>
      <c r="AQ32" s="4">
        <v>7.9</v>
      </c>
      <c r="AR32" s="4">
        <v>0.4</v>
      </c>
      <c r="AS32" s="4">
        <v>0.7</v>
      </c>
      <c r="AT32" s="4">
        <v>0</v>
      </c>
    </row>
    <row r="33" spans="1:46" x14ac:dyDescent="0.25">
      <c r="A33" s="3" t="s">
        <v>77</v>
      </c>
      <c r="B33" s="5">
        <v>7.3</v>
      </c>
      <c r="C33" s="5">
        <v>4.4000000000000004</v>
      </c>
      <c r="D33" s="5">
        <v>0</v>
      </c>
      <c r="E33" s="5">
        <v>2.5</v>
      </c>
      <c r="F33" s="5">
        <v>1.2</v>
      </c>
      <c r="G33" s="5">
        <v>15.9</v>
      </c>
      <c r="H33" s="5">
        <v>6.7</v>
      </c>
      <c r="I33" s="5">
        <v>0.4</v>
      </c>
      <c r="J33" s="5">
        <v>1</v>
      </c>
      <c r="K33" s="5">
        <v>0</v>
      </c>
      <c r="L33" s="5">
        <v>8.9</v>
      </c>
      <c r="M33" s="5">
        <v>4</v>
      </c>
      <c r="N33" s="5">
        <v>1.3</v>
      </c>
      <c r="O33" s="5">
        <v>4</v>
      </c>
      <c r="P33" s="5">
        <v>1.2</v>
      </c>
      <c r="Q33" s="5">
        <v>4.8</v>
      </c>
      <c r="R33" s="5">
        <v>1</v>
      </c>
      <c r="S33" s="5">
        <v>5</v>
      </c>
      <c r="T33" s="5">
        <v>0.7</v>
      </c>
      <c r="U33" s="5">
        <v>5.3</v>
      </c>
      <c r="V33" s="5">
        <v>4.5</v>
      </c>
      <c r="W33" s="5">
        <v>1.6</v>
      </c>
      <c r="X33" s="5">
        <v>2.2000000000000002</v>
      </c>
      <c r="Y33" s="5">
        <v>0.4</v>
      </c>
      <c r="Z33" s="5">
        <v>4.3</v>
      </c>
      <c r="AA33" s="5">
        <v>11.5</v>
      </c>
      <c r="AB33" s="5">
        <v>3.7</v>
      </c>
      <c r="AC33" s="5">
        <v>0.9</v>
      </c>
      <c r="AD33" s="5">
        <v>5.6</v>
      </c>
      <c r="AE33" s="5">
        <v>2.1</v>
      </c>
      <c r="AF33" s="5">
        <v>6.9</v>
      </c>
      <c r="AG33" s="5">
        <v>15.5</v>
      </c>
      <c r="AH33" s="5">
        <v>28.3</v>
      </c>
      <c r="AI33" s="5">
        <v>34.6</v>
      </c>
      <c r="AJ33" s="5">
        <v>2.9</v>
      </c>
      <c r="AK33" s="5">
        <v>54.8</v>
      </c>
      <c r="AL33" s="5">
        <v>3.5</v>
      </c>
      <c r="AM33" s="5">
        <v>8.1999999999999993</v>
      </c>
      <c r="AN33" s="5">
        <v>7.5</v>
      </c>
      <c r="AO33" s="5">
        <v>255.8</v>
      </c>
      <c r="AP33" s="5">
        <v>44.1</v>
      </c>
      <c r="AQ33" s="5">
        <v>23.5</v>
      </c>
      <c r="AR33" s="5">
        <v>2.9</v>
      </c>
      <c r="AS33" s="5">
        <v>6.7</v>
      </c>
      <c r="AT33" s="5">
        <v>0</v>
      </c>
    </row>
    <row r="34" spans="1:46" x14ac:dyDescent="0.25">
      <c r="A34" s="3" t="s">
        <v>78</v>
      </c>
      <c r="B34" s="4">
        <v>1.3</v>
      </c>
      <c r="C34" s="4">
        <v>0.5</v>
      </c>
      <c r="D34" s="4">
        <v>0</v>
      </c>
      <c r="E34" s="4">
        <v>5</v>
      </c>
      <c r="F34" s="4">
        <v>0.2</v>
      </c>
      <c r="G34" s="4">
        <v>39.299999999999997</v>
      </c>
      <c r="H34" s="4">
        <v>20.3</v>
      </c>
      <c r="I34" s="4">
        <v>0.5</v>
      </c>
      <c r="J34" s="4">
        <v>1.9</v>
      </c>
      <c r="K34" s="4">
        <v>0</v>
      </c>
      <c r="L34" s="4">
        <v>10.5</v>
      </c>
      <c r="M34" s="4">
        <v>6</v>
      </c>
      <c r="N34" s="4">
        <v>5.2</v>
      </c>
      <c r="O34" s="4">
        <v>19.8</v>
      </c>
      <c r="P34" s="4">
        <v>3</v>
      </c>
      <c r="Q34" s="4">
        <v>3.5</v>
      </c>
      <c r="R34" s="4">
        <v>1.9</v>
      </c>
      <c r="S34" s="4">
        <v>9.1</v>
      </c>
      <c r="T34" s="4">
        <v>0.6</v>
      </c>
      <c r="U34" s="4">
        <v>3.6</v>
      </c>
      <c r="V34" s="4">
        <v>1.1000000000000001</v>
      </c>
      <c r="W34" s="4">
        <v>1.5</v>
      </c>
      <c r="X34" s="4">
        <v>20</v>
      </c>
      <c r="Y34" s="4">
        <v>3.1</v>
      </c>
      <c r="Z34" s="4">
        <v>7.9</v>
      </c>
      <c r="AA34" s="4">
        <v>25.2</v>
      </c>
      <c r="AB34" s="4">
        <v>2.1</v>
      </c>
      <c r="AC34" s="4">
        <v>0.4</v>
      </c>
      <c r="AD34" s="4">
        <v>2.2000000000000002</v>
      </c>
      <c r="AE34" s="4">
        <v>1.4</v>
      </c>
      <c r="AF34" s="4">
        <v>0.6</v>
      </c>
      <c r="AG34" s="4">
        <v>8.6</v>
      </c>
      <c r="AH34" s="4">
        <v>82.7</v>
      </c>
      <c r="AI34" s="4">
        <v>4.5999999999999996</v>
      </c>
      <c r="AJ34" s="4">
        <v>1.8</v>
      </c>
      <c r="AK34" s="4">
        <v>6.9</v>
      </c>
      <c r="AL34" s="4">
        <v>1.1000000000000001</v>
      </c>
      <c r="AM34" s="4">
        <v>13.9</v>
      </c>
      <c r="AN34" s="4">
        <v>1.6</v>
      </c>
      <c r="AO34" s="4">
        <v>21.8</v>
      </c>
      <c r="AP34" s="4">
        <v>29.1</v>
      </c>
      <c r="AQ34" s="4">
        <v>9</v>
      </c>
      <c r="AR34" s="4">
        <v>4.7</v>
      </c>
      <c r="AS34" s="4">
        <v>3</v>
      </c>
      <c r="AT34" s="4">
        <v>0</v>
      </c>
    </row>
    <row r="35" spans="1:46" x14ac:dyDescent="0.25">
      <c r="A35" s="3" t="s">
        <v>79</v>
      </c>
      <c r="B35" s="5">
        <v>8.3000000000000007</v>
      </c>
      <c r="C35" s="5">
        <v>1.1000000000000001</v>
      </c>
      <c r="D35" s="5">
        <v>0</v>
      </c>
      <c r="E35" s="5">
        <v>1.2</v>
      </c>
      <c r="F35" s="5">
        <v>1.3</v>
      </c>
      <c r="G35" s="5">
        <v>12.4</v>
      </c>
      <c r="H35" s="5">
        <v>7.1</v>
      </c>
      <c r="I35" s="5">
        <v>0.5</v>
      </c>
      <c r="J35" s="5">
        <v>1.3</v>
      </c>
      <c r="K35" s="5">
        <v>0</v>
      </c>
      <c r="L35" s="5">
        <v>6.5</v>
      </c>
      <c r="M35" s="5">
        <v>3.1</v>
      </c>
      <c r="N35" s="5">
        <v>0.9</v>
      </c>
      <c r="O35" s="5">
        <v>3.3</v>
      </c>
      <c r="P35" s="5">
        <v>0.5</v>
      </c>
      <c r="Q35" s="5">
        <v>3.7</v>
      </c>
      <c r="R35" s="5">
        <v>1.4</v>
      </c>
      <c r="S35" s="5">
        <v>4.5</v>
      </c>
      <c r="T35" s="5">
        <v>0.5</v>
      </c>
      <c r="U35" s="5">
        <v>4.2</v>
      </c>
      <c r="V35" s="5">
        <v>0.9</v>
      </c>
      <c r="W35" s="5">
        <v>2.6</v>
      </c>
      <c r="X35" s="5">
        <v>8.1</v>
      </c>
      <c r="Y35" s="5">
        <v>1.1000000000000001</v>
      </c>
      <c r="Z35" s="5">
        <v>14.3</v>
      </c>
      <c r="AA35" s="5">
        <v>65</v>
      </c>
      <c r="AB35" s="5">
        <v>12.7</v>
      </c>
      <c r="AC35" s="5">
        <v>2.1</v>
      </c>
      <c r="AD35" s="5">
        <v>6.8</v>
      </c>
      <c r="AE35" s="5">
        <v>8.6</v>
      </c>
      <c r="AF35" s="5">
        <v>1.1000000000000001</v>
      </c>
      <c r="AG35" s="5">
        <v>6.5</v>
      </c>
      <c r="AH35" s="5">
        <v>11.4</v>
      </c>
      <c r="AI35" s="5">
        <v>34.799999999999997</v>
      </c>
      <c r="AJ35" s="5">
        <v>3.7</v>
      </c>
      <c r="AK35" s="5">
        <v>37.9</v>
      </c>
      <c r="AL35" s="5">
        <v>2.9</v>
      </c>
      <c r="AM35" s="5">
        <v>5.9</v>
      </c>
      <c r="AN35" s="5">
        <v>3.2</v>
      </c>
      <c r="AO35" s="5">
        <v>148.30000000000001</v>
      </c>
      <c r="AP35" s="5">
        <v>42</v>
      </c>
      <c r="AQ35" s="5">
        <v>31.5</v>
      </c>
      <c r="AR35" s="5">
        <v>1.5</v>
      </c>
      <c r="AS35" s="5">
        <v>1.9</v>
      </c>
      <c r="AT35" s="5">
        <v>0</v>
      </c>
    </row>
    <row r="36" spans="1:46" x14ac:dyDescent="0.25">
      <c r="A36" s="3" t="s">
        <v>80</v>
      </c>
      <c r="B36" s="4">
        <v>1.1000000000000001</v>
      </c>
      <c r="C36" s="4">
        <v>0.1</v>
      </c>
      <c r="D36" s="4">
        <v>0</v>
      </c>
      <c r="E36" s="4">
        <v>3.6</v>
      </c>
      <c r="F36" s="4">
        <v>1.5</v>
      </c>
      <c r="G36" s="4">
        <v>22.3</v>
      </c>
      <c r="H36" s="4">
        <v>10</v>
      </c>
      <c r="I36" s="4">
        <v>0.3</v>
      </c>
      <c r="J36" s="4">
        <v>3.5</v>
      </c>
      <c r="K36" s="4">
        <v>0</v>
      </c>
      <c r="L36" s="4">
        <v>8.1</v>
      </c>
      <c r="M36" s="4">
        <v>4.5999999999999996</v>
      </c>
      <c r="N36" s="4">
        <v>0.7</v>
      </c>
      <c r="O36" s="4">
        <v>5.2</v>
      </c>
      <c r="P36" s="4">
        <v>1.8</v>
      </c>
      <c r="Q36" s="4">
        <v>3.6</v>
      </c>
      <c r="R36" s="4">
        <v>4</v>
      </c>
      <c r="S36" s="4">
        <v>11.5</v>
      </c>
      <c r="T36" s="4">
        <v>0.4</v>
      </c>
      <c r="U36" s="4">
        <v>12.6</v>
      </c>
      <c r="V36" s="4">
        <v>2.6</v>
      </c>
      <c r="W36" s="4">
        <v>3.2</v>
      </c>
      <c r="X36" s="4">
        <v>11.9</v>
      </c>
      <c r="Y36" s="4">
        <v>1.3</v>
      </c>
      <c r="Z36" s="4">
        <v>9.1</v>
      </c>
      <c r="AA36" s="4">
        <v>37.799999999999997</v>
      </c>
      <c r="AB36" s="4">
        <v>30.7</v>
      </c>
      <c r="AC36" s="4">
        <v>5.9</v>
      </c>
      <c r="AD36" s="4">
        <v>35.299999999999997</v>
      </c>
      <c r="AE36" s="4">
        <v>25.9</v>
      </c>
      <c r="AF36" s="4">
        <v>5.2</v>
      </c>
      <c r="AG36" s="4">
        <v>7.3</v>
      </c>
      <c r="AH36" s="4">
        <v>25.3</v>
      </c>
      <c r="AI36" s="4">
        <v>45.9</v>
      </c>
      <c r="AJ36" s="4">
        <v>22</v>
      </c>
      <c r="AK36" s="4">
        <v>87.6</v>
      </c>
      <c r="AL36" s="4">
        <v>2.7</v>
      </c>
      <c r="AM36" s="4">
        <v>10.5</v>
      </c>
      <c r="AN36" s="4">
        <v>4.5999999999999996</v>
      </c>
      <c r="AO36" s="4">
        <v>102.1</v>
      </c>
      <c r="AP36" s="4">
        <v>38.9</v>
      </c>
      <c r="AQ36" s="4">
        <v>28.1</v>
      </c>
      <c r="AR36" s="4">
        <v>3.4</v>
      </c>
      <c r="AS36" s="4">
        <v>3.5</v>
      </c>
      <c r="AT36" s="4">
        <v>0</v>
      </c>
    </row>
    <row r="37" spans="1:46" x14ac:dyDescent="0.25">
      <c r="A37" s="3" t="s">
        <v>81</v>
      </c>
      <c r="B37" s="5">
        <v>105.1</v>
      </c>
      <c r="C37" s="5">
        <v>67.599999999999994</v>
      </c>
      <c r="D37" s="5">
        <v>0.1</v>
      </c>
      <c r="E37" s="5">
        <v>24.5</v>
      </c>
      <c r="F37" s="5">
        <v>16.3</v>
      </c>
      <c r="G37" s="5">
        <v>225</v>
      </c>
      <c r="H37" s="5">
        <v>110.6</v>
      </c>
      <c r="I37" s="5">
        <v>8</v>
      </c>
      <c r="J37" s="5">
        <v>25.3</v>
      </c>
      <c r="K37" s="5">
        <v>0.3</v>
      </c>
      <c r="L37" s="5">
        <v>56.8</v>
      </c>
      <c r="M37" s="5">
        <v>21.1</v>
      </c>
      <c r="N37" s="5">
        <v>29</v>
      </c>
      <c r="O37" s="5">
        <v>41.7</v>
      </c>
      <c r="P37" s="5">
        <v>61.9</v>
      </c>
      <c r="Q37" s="5">
        <v>69.7</v>
      </c>
      <c r="R37" s="5">
        <v>12.7</v>
      </c>
      <c r="S37" s="5">
        <v>56.9</v>
      </c>
      <c r="T37" s="5">
        <v>4.5</v>
      </c>
      <c r="U37" s="5">
        <v>149.30000000000001</v>
      </c>
      <c r="V37" s="5">
        <v>9.6</v>
      </c>
      <c r="W37" s="5">
        <v>36.6</v>
      </c>
      <c r="X37" s="5">
        <v>323.89999999999998</v>
      </c>
      <c r="Y37" s="5">
        <v>35.1</v>
      </c>
      <c r="Z37" s="5">
        <v>653.1</v>
      </c>
      <c r="AA37" s="5">
        <v>647.4</v>
      </c>
      <c r="AB37" s="5">
        <v>86.6</v>
      </c>
      <c r="AC37" s="5">
        <v>21.7</v>
      </c>
      <c r="AD37" s="5">
        <v>52.8</v>
      </c>
      <c r="AE37" s="5">
        <v>46.7</v>
      </c>
      <c r="AF37" s="5">
        <v>31.5</v>
      </c>
      <c r="AG37" s="5">
        <v>160.4</v>
      </c>
      <c r="AH37" s="5">
        <v>32.1</v>
      </c>
      <c r="AI37" s="5">
        <v>156.80000000000001</v>
      </c>
      <c r="AJ37" s="5">
        <v>66.599999999999994</v>
      </c>
      <c r="AK37" s="5">
        <v>1227.2</v>
      </c>
      <c r="AL37" s="5">
        <v>508.5</v>
      </c>
      <c r="AM37" s="5">
        <v>238</v>
      </c>
      <c r="AN37" s="5">
        <v>203.9</v>
      </c>
      <c r="AO37" s="5">
        <v>508.3</v>
      </c>
      <c r="AP37" s="5">
        <v>42.3</v>
      </c>
      <c r="AQ37" s="5">
        <v>34</v>
      </c>
      <c r="AR37" s="5">
        <v>6.1</v>
      </c>
      <c r="AS37" s="5">
        <v>9</v>
      </c>
      <c r="AT37" s="5">
        <v>0</v>
      </c>
    </row>
    <row r="38" spans="1:46" x14ac:dyDescent="0.25">
      <c r="A38" s="3" t="s">
        <v>82</v>
      </c>
      <c r="B38" s="4">
        <v>1</v>
      </c>
      <c r="C38" s="4">
        <v>0.1</v>
      </c>
      <c r="D38" s="4">
        <v>0</v>
      </c>
      <c r="E38" s="4">
        <v>5.8</v>
      </c>
      <c r="F38" s="4">
        <v>0.5</v>
      </c>
      <c r="G38" s="4">
        <v>42.8</v>
      </c>
      <c r="H38" s="4">
        <v>19.100000000000001</v>
      </c>
      <c r="I38" s="4">
        <v>0.6</v>
      </c>
      <c r="J38" s="4">
        <v>4.9000000000000004</v>
      </c>
      <c r="K38" s="4">
        <v>0</v>
      </c>
      <c r="L38" s="4">
        <v>10.1</v>
      </c>
      <c r="M38" s="4">
        <v>5.0999999999999996</v>
      </c>
      <c r="N38" s="4">
        <v>1.3</v>
      </c>
      <c r="O38" s="4">
        <v>9.6</v>
      </c>
      <c r="P38" s="4">
        <v>1.6</v>
      </c>
      <c r="Q38" s="4">
        <v>5.8</v>
      </c>
      <c r="R38" s="4">
        <v>2.2000000000000002</v>
      </c>
      <c r="S38" s="4">
        <v>11.4</v>
      </c>
      <c r="T38" s="4">
        <v>0.6</v>
      </c>
      <c r="U38" s="4">
        <v>11.9</v>
      </c>
      <c r="V38" s="4">
        <v>1.9</v>
      </c>
      <c r="W38" s="4">
        <v>5.0999999999999996</v>
      </c>
      <c r="X38" s="4">
        <v>10.9</v>
      </c>
      <c r="Y38" s="4">
        <v>1.5</v>
      </c>
      <c r="Z38" s="4">
        <v>28.5</v>
      </c>
      <c r="AA38" s="4">
        <v>139.6</v>
      </c>
      <c r="AB38" s="4">
        <v>51.5</v>
      </c>
      <c r="AC38" s="4">
        <v>7.3</v>
      </c>
      <c r="AD38" s="4">
        <v>35.1</v>
      </c>
      <c r="AE38" s="4">
        <v>53.9</v>
      </c>
      <c r="AF38" s="4">
        <v>7</v>
      </c>
      <c r="AG38" s="4">
        <v>46.2</v>
      </c>
      <c r="AH38" s="4">
        <v>29.2</v>
      </c>
      <c r="AI38" s="4">
        <v>41.1</v>
      </c>
      <c r="AJ38" s="4">
        <v>5.0999999999999996</v>
      </c>
      <c r="AK38" s="4">
        <v>74.099999999999994</v>
      </c>
      <c r="AL38" s="4">
        <v>19.399999999999999</v>
      </c>
      <c r="AM38" s="4">
        <v>14.7</v>
      </c>
      <c r="AN38" s="4">
        <v>9.6999999999999993</v>
      </c>
      <c r="AO38" s="4">
        <v>112.4</v>
      </c>
      <c r="AP38" s="4">
        <v>78.900000000000006</v>
      </c>
      <c r="AQ38" s="4">
        <v>50.9</v>
      </c>
      <c r="AR38" s="4">
        <v>7.4</v>
      </c>
      <c r="AS38" s="4">
        <v>9.4</v>
      </c>
      <c r="AT38" s="4">
        <v>0</v>
      </c>
    </row>
    <row r="39" spans="1:46" x14ac:dyDescent="0.25">
      <c r="A39" s="3" t="s">
        <v>83</v>
      </c>
      <c r="B39" s="5">
        <v>4.8</v>
      </c>
      <c r="C39" s="5">
        <v>0.5</v>
      </c>
      <c r="D39" s="5">
        <v>0</v>
      </c>
      <c r="E39" s="5">
        <v>22.9</v>
      </c>
      <c r="F39" s="5">
        <v>29.5</v>
      </c>
      <c r="G39" s="5">
        <v>181.1</v>
      </c>
      <c r="H39" s="5">
        <v>43.3</v>
      </c>
      <c r="I39" s="5">
        <v>1.8</v>
      </c>
      <c r="J39" s="5">
        <v>15.6</v>
      </c>
      <c r="K39" s="5">
        <v>0.1</v>
      </c>
      <c r="L39" s="5">
        <v>59.1</v>
      </c>
      <c r="M39" s="5">
        <v>40.299999999999997</v>
      </c>
      <c r="N39" s="5">
        <v>4.5</v>
      </c>
      <c r="O39" s="5">
        <v>32.200000000000003</v>
      </c>
      <c r="P39" s="5">
        <v>9.1</v>
      </c>
      <c r="Q39" s="5">
        <v>19</v>
      </c>
      <c r="R39" s="5">
        <v>10</v>
      </c>
      <c r="S39" s="5">
        <v>58.5</v>
      </c>
      <c r="T39" s="5">
        <v>2.2999999999999998</v>
      </c>
      <c r="U39" s="5">
        <v>66.900000000000006</v>
      </c>
      <c r="V39" s="5">
        <v>10.4</v>
      </c>
      <c r="W39" s="5">
        <v>21.6</v>
      </c>
      <c r="X39" s="5">
        <v>47.4</v>
      </c>
      <c r="Y39" s="5">
        <v>4.3</v>
      </c>
      <c r="Z39" s="5">
        <v>125.4</v>
      </c>
      <c r="AA39" s="5">
        <v>258.60000000000002</v>
      </c>
      <c r="AB39" s="5">
        <v>122.4</v>
      </c>
      <c r="AC39" s="5">
        <v>29</v>
      </c>
      <c r="AD39" s="5">
        <v>73.3</v>
      </c>
      <c r="AE39" s="5">
        <v>98.2</v>
      </c>
      <c r="AF39" s="5">
        <v>10.8</v>
      </c>
      <c r="AG39" s="5">
        <v>43.3</v>
      </c>
      <c r="AH39" s="5">
        <v>84.5</v>
      </c>
      <c r="AI39" s="5">
        <v>87.5</v>
      </c>
      <c r="AJ39" s="5">
        <v>23.1</v>
      </c>
      <c r="AK39" s="5">
        <v>204.2</v>
      </c>
      <c r="AL39" s="5">
        <v>28.9</v>
      </c>
      <c r="AM39" s="5">
        <v>129</v>
      </c>
      <c r="AN39" s="5">
        <v>30.1</v>
      </c>
      <c r="AO39" s="5">
        <v>252.3</v>
      </c>
      <c r="AP39" s="5">
        <v>121</v>
      </c>
      <c r="AQ39" s="5">
        <v>91.5</v>
      </c>
      <c r="AR39" s="5">
        <v>18.2</v>
      </c>
      <c r="AS39" s="5">
        <v>19.8</v>
      </c>
      <c r="AT39" s="5">
        <v>0</v>
      </c>
    </row>
    <row r="40" spans="1:46" x14ac:dyDescent="0.25">
      <c r="A40" s="3" t="s">
        <v>84</v>
      </c>
      <c r="B40" s="4">
        <v>2.6</v>
      </c>
      <c r="C40" s="4">
        <v>0.3</v>
      </c>
      <c r="D40" s="4">
        <v>0</v>
      </c>
      <c r="E40" s="4">
        <v>13.9</v>
      </c>
      <c r="F40" s="4">
        <v>10.6</v>
      </c>
      <c r="G40" s="4">
        <v>75.599999999999994</v>
      </c>
      <c r="H40" s="4">
        <v>20.5</v>
      </c>
      <c r="I40" s="4">
        <v>0.9</v>
      </c>
      <c r="J40" s="4">
        <v>8.1999999999999993</v>
      </c>
      <c r="K40" s="4">
        <v>0</v>
      </c>
      <c r="L40" s="4">
        <v>24.4</v>
      </c>
      <c r="M40" s="4">
        <v>14.8</v>
      </c>
      <c r="N40" s="4">
        <v>2.2999999999999998</v>
      </c>
      <c r="O40" s="4">
        <v>18.5</v>
      </c>
      <c r="P40" s="4">
        <v>5.9</v>
      </c>
      <c r="Q40" s="4">
        <v>10.4</v>
      </c>
      <c r="R40" s="4">
        <v>5.5</v>
      </c>
      <c r="S40" s="4">
        <v>27</v>
      </c>
      <c r="T40" s="4">
        <v>1.1000000000000001</v>
      </c>
      <c r="U40" s="4">
        <v>34.5</v>
      </c>
      <c r="V40" s="4">
        <v>5.4</v>
      </c>
      <c r="W40" s="4">
        <v>12.3</v>
      </c>
      <c r="X40" s="4">
        <v>24.6</v>
      </c>
      <c r="Y40" s="4">
        <v>3.5</v>
      </c>
      <c r="Z40" s="4">
        <v>45.2</v>
      </c>
      <c r="AA40" s="4">
        <v>105.4</v>
      </c>
      <c r="AB40" s="4">
        <v>123.6</v>
      </c>
      <c r="AC40" s="4">
        <v>31.1</v>
      </c>
      <c r="AD40" s="4">
        <v>120.3</v>
      </c>
      <c r="AE40" s="4">
        <v>80.2</v>
      </c>
      <c r="AF40" s="4">
        <v>12.3</v>
      </c>
      <c r="AG40" s="4">
        <v>31.8</v>
      </c>
      <c r="AH40" s="4">
        <v>41.2</v>
      </c>
      <c r="AI40" s="4">
        <v>58.5</v>
      </c>
      <c r="AJ40" s="4">
        <v>11.6</v>
      </c>
      <c r="AK40" s="4">
        <v>81.7</v>
      </c>
      <c r="AL40" s="4">
        <v>15.2</v>
      </c>
      <c r="AM40" s="4">
        <v>31.2</v>
      </c>
      <c r="AN40" s="4">
        <v>34</v>
      </c>
      <c r="AO40" s="4">
        <v>143.69999999999999</v>
      </c>
      <c r="AP40" s="4">
        <v>86.3</v>
      </c>
      <c r="AQ40" s="4">
        <v>76.400000000000006</v>
      </c>
      <c r="AR40" s="4">
        <v>10.6</v>
      </c>
      <c r="AS40" s="4">
        <v>8.5</v>
      </c>
      <c r="AT40" s="4">
        <v>0</v>
      </c>
    </row>
    <row r="41" spans="1:46" x14ac:dyDescent="0.25">
      <c r="A41" s="3" t="s">
        <v>85</v>
      </c>
      <c r="B41" s="5">
        <v>14.2</v>
      </c>
      <c r="C41" s="5">
        <v>0.7</v>
      </c>
      <c r="D41" s="5">
        <v>0</v>
      </c>
      <c r="E41" s="5">
        <v>5.6</v>
      </c>
      <c r="F41" s="5">
        <v>2</v>
      </c>
      <c r="G41" s="5">
        <v>53.8</v>
      </c>
      <c r="H41" s="5">
        <v>13.3</v>
      </c>
      <c r="I41" s="5">
        <v>0.9</v>
      </c>
      <c r="J41" s="5">
        <v>2.2999999999999998</v>
      </c>
      <c r="K41" s="5">
        <v>0</v>
      </c>
      <c r="L41" s="5">
        <v>7.5</v>
      </c>
      <c r="M41" s="5">
        <v>4.0999999999999996</v>
      </c>
      <c r="N41" s="5">
        <v>4.3</v>
      </c>
      <c r="O41" s="5">
        <v>15.3</v>
      </c>
      <c r="P41" s="5">
        <v>2.7</v>
      </c>
      <c r="Q41" s="5">
        <v>3.9</v>
      </c>
      <c r="R41" s="5">
        <v>1.9</v>
      </c>
      <c r="S41" s="5">
        <v>9</v>
      </c>
      <c r="T41" s="5">
        <v>0.5</v>
      </c>
      <c r="U41" s="5">
        <v>5.4</v>
      </c>
      <c r="V41" s="5">
        <v>1.3</v>
      </c>
      <c r="W41" s="5">
        <v>2.9</v>
      </c>
      <c r="X41" s="5">
        <v>20.100000000000001</v>
      </c>
      <c r="Y41" s="5">
        <v>2.9</v>
      </c>
      <c r="Z41" s="5">
        <v>11.9</v>
      </c>
      <c r="AA41" s="5">
        <v>32.799999999999997</v>
      </c>
      <c r="AB41" s="5">
        <v>9.6999999999999993</v>
      </c>
      <c r="AC41" s="5">
        <v>2.2000000000000002</v>
      </c>
      <c r="AD41" s="5">
        <v>6.9</v>
      </c>
      <c r="AE41" s="5">
        <v>8.5</v>
      </c>
      <c r="AF41" s="5">
        <v>1.3</v>
      </c>
      <c r="AG41" s="5">
        <v>9.8000000000000007</v>
      </c>
      <c r="AH41" s="5">
        <v>32.700000000000003</v>
      </c>
      <c r="AI41" s="5">
        <v>8</v>
      </c>
      <c r="AJ41" s="5">
        <v>2.6</v>
      </c>
      <c r="AK41" s="5">
        <v>13.6</v>
      </c>
      <c r="AL41" s="5">
        <v>3.6</v>
      </c>
      <c r="AM41" s="5">
        <v>10.199999999999999</v>
      </c>
      <c r="AN41" s="5">
        <v>3.8</v>
      </c>
      <c r="AO41" s="5">
        <v>33.700000000000003</v>
      </c>
      <c r="AP41" s="5">
        <v>23.4</v>
      </c>
      <c r="AQ41" s="5">
        <v>15.2</v>
      </c>
      <c r="AR41" s="5">
        <v>6.2</v>
      </c>
      <c r="AS41" s="5">
        <v>4.0999999999999996</v>
      </c>
      <c r="AT41" s="5">
        <v>0</v>
      </c>
    </row>
    <row r="42" spans="1:46" x14ac:dyDescent="0.25">
      <c r="A42" s="3" t="s">
        <v>86</v>
      </c>
      <c r="B42" s="4">
        <v>64.8</v>
      </c>
      <c r="C42" s="4">
        <v>0.3</v>
      </c>
      <c r="D42" s="4">
        <v>0</v>
      </c>
      <c r="E42" s="4">
        <v>0.4</v>
      </c>
      <c r="F42" s="4">
        <v>0.4</v>
      </c>
      <c r="G42" s="4">
        <v>7.3</v>
      </c>
      <c r="H42" s="4">
        <v>1.8</v>
      </c>
      <c r="I42" s="4">
        <v>0.1</v>
      </c>
      <c r="J42" s="4">
        <v>0.3</v>
      </c>
      <c r="K42" s="4">
        <v>0</v>
      </c>
      <c r="L42" s="4">
        <v>1.3</v>
      </c>
      <c r="M42" s="4">
        <v>0.5</v>
      </c>
      <c r="N42" s="4">
        <v>0.4</v>
      </c>
      <c r="O42" s="4">
        <v>0.8</v>
      </c>
      <c r="P42" s="4">
        <v>0.3</v>
      </c>
      <c r="Q42" s="4">
        <v>0.6</v>
      </c>
      <c r="R42" s="4">
        <v>0.3</v>
      </c>
      <c r="S42" s="4">
        <v>0.8</v>
      </c>
      <c r="T42" s="4">
        <v>0.1</v>
      </c>
      <c r="U42" s="4">
        <v>1.3</v>
      </c>
      <c r="V42" s="4">
        <v>0.1</v>
      </c>
      <c r="W42" s="4">
        <v>1.1000000000000001</v>
      </c>
      <c r="X42" s="4">
        <v>0.5</v>
      </c>
      <c r="Y42" s="4">
        <v>0.1</v>
      </c>
      <c r="Z42" s="4">
        <v>2.7</v>
      </c>
      <c r="AA42" s="4">
        <v>2</v>
      </c>
      <c r="AB42" s="4">
        <v>1.1000000000000001</v>
      </c>
      <c r="AC42" s="4">
        <v>0.2</v>
      </c>
      <c r="AD42" s="4">
        <v>0.7</v>
      </c>
      <c r="AE42" s="4">
        <v>0.5</v>
      </c>
      <c r="AF42" s="4">
        <v>0.1</v>
      </c>
      <c r="AG42" s="4">
        <v>0.7</v>
      </c>
      <c r="AH42" s="4">
        <v>12.4</v>
      </c>
      <c r="AI42" s="4">
        <v>0.5</v>
      </c>
      <c r="AJ42" s="4">
        <v>0.1</v>
      </c>
      <c r="AK42" s="4">
        <v>28.4</v>
      </c>
      <c r="AL42" s="4">
        <v>0.1</v>
      </c>
      <c r="AM42" s="4">
        <v>0.3</v>
      </c>
      <c r="AN42" s="4">
        <v>0.2</v>
      </c>
      <c r="AO42" s="4">
        <v>145.6</v>
      </c>
      <c r="AP42" s="4">
        <v>160.9</v>
      </c>
      <c r="AQ42" s="4">
        <v>34</v>
      </c>
      <c r="AR42" s="4">
        <v>3.7</v>
      </c>
      <c r="AS42" s="4">
        <v>6.6</v>
      </c>
      <c r="AT42" s="4">
        <v>0</v>
      </c>
    </row>
    <row r="43" spans="1:46" x14ac:dyDescent="0.25">
      <c r="A43" s="3" t="s">
        <v>87</v>
      </c>
      <c r="B43" s="5">
        <v>39.200000000000003</v>
      </c>
      <c r="C43" s="5">
        <v>0.3</v>
      </c>
      <c r="D43" s="5">
        <v>0</v>
      </c>
      <c r="E43" s="5">
        <v>0.4</v>
      </c>
      <c r="F43" s="5">
        <v>0.3</v>
      </c>
      <c r="G43" s="5">
        <v>7.9</v>
      </c>
      <c r="H43" s="5">
        <v>3.8</v>
      </c>
      <c r="I43" s="5">
        <v>0.2</v>
      </c>
      <c r="J43" s="5">
        <v>0.3</v>
      </c>
      <c r="K43" s="5">
        <v>0</v>
      </c>
      <c r="L43" s="5">
        <v>1.5</v>
      </c>
      <c r="M43" s="5">
        <v>0.6</v>
      </c>
      <c r="N43" s="5">
        <v>0.5</v>
      </c>
      <c r="O43" s="5">
        <v>0.9</v>
      </c>
      <c r="P43" s="5">
        <v>0.3</v>
      </c>
      <c r="Q43" s="5">
        <v>0.6</v>
      </c>
      <c r="R43" s="5">
        <v>0.7</v>
      </c>
      <c r="S43" s="5">
        <v>1.7</v>
      </c>
      <c r="T43" s="5">
        <v>0.1</v>
      </c>
      <c r="U43" s="5">
        <v>1.2</v>
      </c>
      <c r="V43" s="5">
        <v>0.1</v>
      </c>
      <c r="W43" s="5">
        <v>0.7</v>
      </c>
      <c r="X43" s="5">
        <v>0.6</v>
      </c>
      <c r="Y43" s="5">
        <v>0.1</v>
      </c>
      <c r="Z43" s="5">
        <v>3.5</v>
      </c>
      <c r="AA43" s="5">
        <v>2.2000000000000002</v>
      </c>
      <c r="AB43" s="5">
        <v>1.3</v>
      </c>
      <c r="AC43" s="5">
        <v>0.3</v>
      </c>
      <c r="AD43" s="5">
        <v>1</v>
      </c>
      <c r="AE43" s="5">
        <v>0.5</v>
      </c>
      <c r="AF43" s="5">
        <v>0.1</v>
      </c>
      <c r="AG43" s="5">
        <v>0.8</v>
      </c>
      <c r="AH43" s="5">
        <v>3.1</v>
      </c>
      <c r="AI43" s="5">
        <v>0.6</v>
      </c>
      <c r="AJ43" s="5">
        <v>0.1</v>
      </c>
      <c r="AK43" s="5">
        <v>11.1</v>
      </c>
      <c r="AL43" s="5">
        <v>0.1</v>
      </c>
      <c r="AM43" s="5">
        <v>0.3</v>
      </c>
      <c r="AN43" s="5">
        <v>0.2</v>
      </c>
      <c r="AO43" s="5">
        <v>63.7</v>
      </c>
      <c r="AP43" s="5">
        <v>12.7</v>
      </c>
      <c r="AQ43" s="5">
        <v>59.1</v>
      </c>
      <c r="AR43" s="5">
        <v>2.1</v>
      </c>
      <c r="AS43" s="5">
        <v>2.9</v>
      </c>
      <c r="AT43" s="5">
        <v>0</v>
      </c>
    </row>
    <row r="44" spans="1:46" x14ac:dyDescent="0.25">
      <c r="A44" s="3" t="s">
        <v>88</v>
      </c>
      <c r="B44" s="4">
        <v>0.8</v>
      </c>
      <c r="C44" s="4">
        <v>0.2</v>
      </c>
      <c r="D44" s="4">
        <v>0</v>
      </c>
      <c r="E44" s="4">
        <v>1.8</v>
      </c>
      <c r="F44" s="4">
        <v>0.1</v>
      </c>
      <c r="G44" s="4">
        <v>6.1</v>
      </c>
      <c r="H44" s="4">
        <v>5.5</v>
      </c>
      <c r="I44" s="4">
        <v>0.2</v>
      </c>
      <c r="J44" s="4">
        <v>0.6</v>
      </c>
      <c r="K44" s="4">
        <v>0</v>
      </c>
      <c r="L44" s="4">
        <v>1.7</v>
      </c>
      <c r="M44" s="4">
        <v>0.9</v>
      </c>
      <c r="N44" s="4">
        <v>1.8</v>
      </c>
      <c r="O44" s="4">
        <v>4.5</v>
      </c>
      <c r="P44" s="4">
        <v>0.8</v>
      </c>
      <c r="Q44" s="4">
        <v>1.1000000000000001</v>
      </c>
      <c r="R44" s="4">
        <v>0.8</v>
      </c>
      <c r="S44" s="4">
        <v>2.7</v>
      </c>
      <c r="T44" s="4">
        <v>0.1</v>
      </c>
      <c r="U44" s="4">
        <v>1.2</v>
      </c>
      <c r="V44" s="4">
        <v>0.4</v>
      </c>
      <c r="W44" s="4">
        <v>0.4</v>
      </c>
      <c r="X44" s="4">
        <v>5.2</v>
      </c>
      <c r="Y44" s="4">
        <v>0.6</v>
      </c>
      <c r="Z44" s="4">
        <v>2.8</v>
      </c>
      <c r="AA44" s="4">
        <v>5.2</v>
      </c>
      <c r="AB44" s="4">
        <v>0.8</v>
      </c>
      <c r="AC44" s="4">
        <v>0.2</v>
      </c>
      <c r="AD44" s="4">
        <v>0.7</v>
      </c>
      <c r="AE44" s="4">
        <v>0.4</v>
      </c>
      <c r="AF44" s="4">
        <v>0.1</v>
      </c>
      <c r="AG44" s="4">
        <v>2.4</v>
      </c>
      <c r="AH44" s="4">
        <v>9</v>
      </c>
      <c r="AI44" s="4">
        <v>0.6</v>
      </c>
      <c r="AJ44" s="4">
        <v>0.4</v>
      </c>
      <c r="AK44" s="4">
        <v>0.5</v>
      </c>
      <c r="AL44" s="4">
        <v>0.5</v>
      </c>
      <c r="AM44" s="4">
        <v>2.5</v>
      </c>
      <c r="AN44" s="4">
        <v>1.5</v>
      </c>
      <c r="AO44" s="4">
        <v>6</v>
      </c>
      <c r="AP44" s="4">
        <v>8.1999999999999993</v>
      </c>
      <c r="AQ44" s="4">
        <v>3</v>
      </c>
      <c r="AR44" s="4">
        <v>7.6</v>
      </c>
      <c r="AS44" s="4">
        <v>1.2</v>
      </c>
      <c r="AT44" s="4">
        <v>0</v>
      </c>
    </row>
    <row r="45" spans="1:46" x14ac:dyDescent="0.25">
      <c r="A45" s="3" t="s">
        <v>89</v>
      </c>
      <c r="B45" s="5">
        <v>0.9</v>
      </c>
      <c r="C45" s="5">
        <v>0.8</v>
      </c>
      <c r="D45" s="5">
        <v>0</v>
      </c>
      <c r="E45" s="5">
        <v>3.2</v>
      </c>
      <c r="F45" s="5">
        <v>0.5</v>
      </c>
      <c r="G45" s="5">
        <v>11.4</v>
      </c>
      <c r="H45" s="5">
        <v>8.1999999999999993</v>
      </c>
      <c r="I45" s="5">
        <v>0.4</v>
      </c>
      <c r="J45" s="5">
        <v>0.9</v>
      </c>
      <c r="K45" s="5">
        <v>0</v>
      </c>
      <c r="L45" s="5">
        <v>3.1</v>
      </c>
      <c r="M45" s="5">
        <v>1.5</v>
      </c>
      <c r="N45" s="5">
        <v>3.2</v>
      </c>
      <c r="O45" s="5">
        <v>12</v>
      </c>
      <c r="P45" s="5">
        <v>1.5</v>
      </c>
      <c r="Q45" s="5">
        <v>2.2000000000000002</v>
      </c>
      <c r="R45" s="5">
        <v>0.9</v>
      </c>
      <c r="S45" s="5">
        <v>4.9000000000000004</v>
      </c>
      <c r="T45" s="5">
        <v>0.3</v>
      </c>
      <c r="U45" s="5">
        <v>1.7</v>
      </c>
      <c r="V45" s="5">
        <v>0.6</v>
      </c>
      <c r="W45" s="5">
        <v>0.7</v>
      </c>
      <c r="X45" s="5">
        <v>13.5</v>
      </c>
      <c r="Y45" s="5">
        <v>2.4</v>
      </c>
      <c r="Z45" s="5">
        <v>4.2</v>
      </c>
      <c r="AA45" s="5">
        <v>8.3000000000000007</v>
      </c>
      <c r="AB45" s="5">
        <v>0.6</v>
      </c>
      <c r="AC45" s="5">
        <v>0.1</v>
      </c>
      <c r="AD45" s="5">
        <v>0.4</v>
      </c>
      <c r="AE45" s="5">
        <v>0.3</v>
      </c>
      <c r="AF45" s="5">
        <v>0.2</v>
      </c>
      <c r="AG45" s="5">
        <v>2.8</v>
      </c>
      <c r="AH45" s="5">
        <v>5.8</v>
      </c>
      <c r="AI45" s="5">
        <v>0.7</v>
      </c>
      <c r="AJ45" s="5">
        <v>1</v>
      </c>
      <c r="AK45" s="5">
        <v>0.4</v>
      </c>
      <c r="AL45" s="5">
        <v>1.2</v>
      </c>
      <c r="AM45" s="5">
        <v>3</v>
      </c>
      <c r="AN45" s="5">
        <v>1.7</v>
      </c>
      <c r="AO45" s="5">
        <v>6.9</v>
      </c>
      <c r="AP45" s="5">
        <v>6</v>
      </c>
      <c r="AQ45" s="5">
        <v>6.2</v>
      </c>
      <c r="AR45" s="5">
        <v>1.7</v>
      </c>
      <c r="AS45" s="5">
        <v>3.8</v>
      </c>
      <c r="AT45" s="5">
        <v>0</v>
      </c>
    </row>
    <row r="46" spans="1:46" ht="13" thickBot="1" x14ac:dyDescent="0.3">
      <c r="A46" s="6" t="s">
        <v>90</v>
      </c>
      <c r="B46" s="7">
        <v>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S46" s="7">
        <v>0</v>
      </c>
      <c r="AT46" s="7">
        <v>0</v>
      </c>
    </row>
    <row r="47" spans="1:46" x14ac:dyDescent="0.25">
      <c r="A47" s="8" t="s">
        <v>91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R47" s="9">
        <v>0</v>
      </c>
      <c r="AS47" s="9">
        <v>0</v>
      </c>
      <c r="AT47" s="10">
        <v>0</v>
      </c>
    </row>
    <row r="48" spans="1:46" x14ac:dyDescent="0.25">
      <c r="A48" s="11" t="s">
        <v>92</v>
      </c>
      <c r="B48" s="4">
        <v>108.5</v>
      </c>
      <c r="C48" s="4">
        <v>-0.9</v>
      </c>
      <c r="D48" s="4">
        <v>0</v>
      </c>
      <c r="E48" s="4">
        <v>0.8</v>
      </c>
      <c r="F48" s="4">
        <v>8.6</v>
      </c>
      <c r="G48" s="4">
        <v>177.7</v>
      </c>
      <c r="H48" s="4">
        <v>495.5</v>
      </c>
      <c r="I48" s="4">
        <v>24.5</v>
      </c>
      <c r="J48" s="4">
        <v>23.2</v>
      </c>
      <c r="K48" s="4">
        <v>0.1</v>
      </c>
      <c r="L48" s="4">
        <v>193.6</v>
      </c>
      <c r="M48" s="4">
        <v>48.1</v>
      </c>
      <c r="N48" s="4">
        <v>47.3</v>
      </c>
      <c r="O48" s="4">
        <v>45.7</v>
      </c>
      <c r="P48" s="4">
        <v>23.3</v>
      </c>
      <c r="Q48" s="4">
        <v>77.400000000000006</v>
      </c>
      <c r="R48" s="4">
        <v>64.2</v>
      </c>
      <c r="S48" s="4">
        <v>153</v>
      </c>
      <c r="T48" s="4">
        <v>19.3</v>
      </c>
      <c r="U48" s="4">
        <v>433.2</v>
      </c>
      <c r="V48" s="4">
        <v>13.5</v>
      </c>
      <c r="W48" s="4">
        <v>55.3</v>
      </c>
      <c r="X48" s="4">
        <v>56.9</v>
      </c>
      <c r="Y48" s="4">
        <v>8</v>
      </c>
      <c r="Z48" s="4">
        <v>542.9</v>
      </c>
      <c r="AA48" s="4">
        <v>192.7</v>
      </c>
      <c r="AB48" s="4">
        <v>-77.5</v>
      </c>
      <c r="AC48" s="4">
        <v>-22.8</v>
      </c>
      <c r="AD48" s="4">
        <v>-76</v>
      </c>
      <c r="AE48" s="4">
        <v>3.4</v>
      </c>
      <c r="AF48" s="4">
        <v>5</v>
      </c>
      <c r="AG48" s="4">
        <v>52.4</v>
      </c>
      <c r="AH48" s="4">
        <v>32.799999999999997</v>
      </c>
      <c r="AI48" s="4">
        <v>42.9</v>
      </c>
      <c r="AJ48" s="4">
        <v>7.2</v>
      </c>
      <c r="AK48" s="4">
        <v>73.900000000000006</v>
      </c>
      <c r="AL48" s="4">
        <v>23.7</v>
      </c>
      <c r="AM48" s="4">
        <v>22.4</v>
      </c>
      <c r="AN48" s="4">
        <v>16.8</v>
      </c>
      <c r="AO48" s="4">
        <v>143.5</v>
      </c>
      <c r="AP48" s="4">
        <v>58.4</v>
      </c>
      <c r="AQ48" s="4">
        <v>43.2</v>
      </c>
      <c r="AR48" s="4">
        <v>7.8</v>
      </c>
      <c r="AS48" s="4">
        <v>9.6999999999999993</v>
      </c>
      <c r="AT48" s="12">
        <v>0</v>
      </c>
    </row>
    <row r="49" spans="1:46" x14ac:dyDescent="0.25">
      <c r="A49" s="11" t="s">
        <v>93</v>
      </c>
      <c r="B49" s="5">
        <v>7266.6</v>
      </c>
      <c r="C49" s="5">
        <v>424.7</v>
      </c>
      <c r="D49" s="5">
        <v>5.3</v>
      </c>
      <c r="E49" s="5">
        <v>1027.9000000000001</v>
      </c>
      <c r="F49" s="5">
        <v>316.2</v>
      </c>
      <c r="G49" s="5">
        <v>14115.6</v>
      </c>
      <c r="H49" s="5">
        <v>4404.3</v>
      </c>
      <c r="I49" s="5">
        <v>324.39999999999998</v>
      </c>
      <c r="J49" s="5">
        <v>638</v>
      </c>
      <c r="K49" s="5">
        <v>16.7</v>
      </c>
      <c r="L49" s="5">
        <v>4132.3</v>
      </c>
      <c r="M49" s="5">
        <v>1007.3</v>
      </c>
      <c r="N49" s="5">
        <v>876.8</v>
      </c>
      <c r="O49" s="5">
        <v>1831.2</v>
      </c>
      <c r="P49" s="5">
        <v>1265.9000000000001</v>
      </c>
      <c r="Q49" s="5">
        <v>1625.6</v>
      </c>
      <c r="R49" s="5">
        <v>688.4</v>
      </c>
      <c r="S49" s="5">
        <v>2290.5</v>
      </c>
      <c r="T49" s="5">
        <v>218.5</v>
      </c>
      <c r="U49" s="5">
        <v>3670</v>
      </c>
      <c r="V49" s="5">
        <v>235.2</v>
      </c>
      <c r="W49" s="5">
        <v>672.4</v>
      </c>
      <c r="X49" s="5">
        <v>1848.6</v>
      </c>
      <c r="Y49" s="5">
        <v>231.7</v>
      </c>
      <c r="Z49" s="5">
        <v>8131.8</v>
      </c>
      <c r="AA49" s="5">
        <v>4475.3999999999996</v>
      </c>
      <c r="AB49" s="5">
        <v>1594</v>
      </c>
      <c r="AC49" s="5">
        <v>464.3</v>
      </c>
      <c r="AD49" s="5">
        <v>1075.5999999999999</v>
      </c>
      <c r="AE49" s="5">
        <v>775.2</v>
      </c>
      <c r="AF49" s="5">
        <v>208.5</v>
      </c>
      <c r="AG49" s="5">
        <v>1589.7</v>
      </c>
      <c r="AH49" s="5">
        <v>907.5</v>
      </c>
      <c r="AI49" s="5">
        <v>923.7</v>
      </c>
      <c r="AJ49" s="5">
        <v>187.2</v>
      </c>
      <c r="AK49" s="5">
        <v>2164.6999999999998</v>
      </c>
      <c r="AL49" s="5">
        <v>698.2</v>
      </c>
      <c r="AM49" s="5">
        <v>631.1</v>
      </c>
      <c r="AN49" s="5">
        <v>440.8</v>
      </c>
      <c r="AO49" s="5">
        <v>4642</v>
      </c>
      <c r="AP49" s="5">
        <v>1604.6</v>
      </c>
      <c r="AQ49" s="5">
        <v>1141.2</v>
      </c>
      <c r="AR49" s="5">
        <v>187.5</v>
      </c>
      <c r="AS49" s="5">
        <v>242.2</v>
      </c>
      <c r="AT49" s="13">
        <v>0</v>
      </c>
    </row>
    <row r="50" spans="1:46" x14ac:dyDescent="0.25">
      <c r="A50" s="11" t="s">
        <v>94</v>
      </c>
      <c r="B50" s="4">
        <v>13665.5</v>
      </c>
      <c r="C50" s="4">
        <v>1112</v>
      </c>
      <c r="D50" s="4">
        <v>22.3</v>
      </c>
      <c r="E50" s="4">
        <v>2504.4</v>
      </c>
      <c r="F50" s="4">
        <v>497.5</v>
      </c>
      <c r="G50" s="4">
        <v>7128</v>
      </c>
      <c r="H50" s="4">
        <v>1818.9</v>
      </c>
      <c r="I50" s="4">
        <v>173.4</v>
      </c>
      <c r="J50" s="4">
        <v>410.6</v>
      </c>
      <c r="K50" s="4">
        <v>0.3</v>
      </c>
      <c r="L50" s="4">
        <v>2528</v>
      </c>
      <c r="M50" s="4">
        <v>987.9</v>
      </c>
      <c r="N50" s="4">
        <v>67.099999999999994</v>
      </c>
      <c r="O50" s="4">
        <v>1383.9</v>
      </c>
      <c r="P50" s="4">
        <v>728.3</v>
      </c>
      <c r="Q50" s="4">
        <v>708.4</v>
      </c>
      <c r="R50" s="4">
        <v>117.3</v>
      </c>
      <c r="S50" s="4">
        <v>1231.5</v>
      </c>
      <c r="T50" s="4">
        <v>75.2</v>
      </c>
      <c r="U50" s="4">
        <v>810.2</v>
      </c>
      <c r="V50" s="4">
        <v>231.8</v>
      </c>
      <c r="W50" s="4">
        <v>631.4</v>
      </c>
      <c r="X50" s="4">
        <v>2737.7</v>
      </c>
      <c r="Y50" s="4">
        <v>482.6</v>
      </c>
      <c r="Z50" s="4">
        <v>5855.4</v>
      </c>
      <c r="AA50" s="4">
        <v>9282.2999999999993</v>
      </c>
      <c r="AB50" s="4">
        <v>2225.4</v>
      </c>
      <c r="AC50" s="4">
        <v>330.5</v>
      </c>
      <c r="AD50" s="4">
        <v>314.89999999999998</v>
      </c>
      <c r="AE50" s="4">
        <v>1216.5999999999999</v>
      </c>
      <c r="AF50" s="4">
        <v>497.9</v>
      </c>
      <c r="AG50" s="4">
        <v>2478.1</v>
      </c>
      <c r="AH50" s="4">
        <v>280.3</v>
      </c>
      <c r="AI50" s="4">
        <v>1881.9</v>
      </c>
      <c r="AJ50" s="4">
        <v>1179.8</v>
      </c>
      <c r="AK50" s="4">
        <v>5017</v>
      </c>
      <c r="AL50" s="4">
        <v>5288.7</v>
      </c>
      <c r="AM50" s="4">
        <v>3240.9</v>
      </c>
      <c r="AN50" s="4">
        <v>1685</v>
      </c>
      <c r="AO50" s="4">
        <v>9950.2999999999993</v>
      </c>
      <c r="AP50" s="4">
        <v>8241.5</v>
      </c>
      <c r="AQ50" s="4">
        <v>3686.5</v>
      </c>
      <c r="AR50" s="4">
        <v>329.2</v>
      </c>
      <c r="AS50" s="4">
        <v>506.6</v>
      </c>
      <c r="AT50" s="12">
        <v>452.6</v>
      </c>
    </row>
    <row r="51" spans="1:46" ht="13" thickBot="1" x14ac:dyDescent="0.3">
      <c r="A51" s="14" t="s">
        <v>95</v>
      </c>
      <c r="B51" s="15">
        <v>20932.099999999999</v>
      </c>
      <c r="C51" s="15">
        <v>1536.7</v>
      </c>
      <c r="D51" s="15">
        <v>27.6</v>
      </c>
      <c r="E51" s="15">
        <v>3532.3</v>
      </c>
      <c r="F51" s="15">
        <v>813.7</v>
      </c>
      <c r="G51" s="15">
        <v>21243.599999999999</v>
      </c>
      <c r="H51" s="15">
        <v>6223.2</v>
      </c>
      <c r="I51" s="15">
        <v>497.9</v>
      </c>
      <c r="J51" s="15">
        <v>1048.5</v>
      </c>
      <c r="K51" s="15">
        <v>17</v>
      </c>
      <c r="L51" s="15">
        <v>6660.3</v>
      </c>
      <c r="M51" s="15">
        <v>1995.2</v>
      </c>
      <c r="N51" s="15">
        <v>944</v>
      </c>
      <c r="O51" s="15">
        <v>3215.2</v>
      </c>
      <c r="P51" s="15">
        <v>1994.1</v>
      </c>
      <c r="Q51" s="15">
        <v>2334</v>
      </c>
      <c r="R51" s="15">
        <v>805.8</v>
      </c>
      <c r="S51" s="15">
        <v>3522</v>
      </c>
      <c r="T51" s="15">
        <v>293.8</v>
      </c>
      <c r="U51" s="15">
        <v>4480.2</v>
      </c>
      <c r="V51" s="15">
        <v>467</v>
      </c>
      <c r="W51" s="15">
        <v>1303.8</v>
      </c>
      <c r="X51" s="15">
        <v>4586.3</v>
      </c>
      <c r="Y51" s="15">
        <v>714.2</v>
      </c>
      <c r="Z51" s="15">
        <v>13987.2</v>
      </c>
      <c r="AA51" s="15">
        <v>13757.6</v>
      </c>
      <c r="AB51" s="15">
        <v>3819.4</v>
      </c>
      <c r="AC51" s="15">
        <v>794.8</v>
      </c>
      <c r="AD51" s="15">
        <v>1390.5</v>
      </c>
      <c r="AE51" s="15">
        <v>1991.8</v>
      </c>
      <c r="AF51" s="15">
        <v>706.4</v>
      </c>
      <c r="AG51" s="15">
        <v>4067.9</v>
      </c>
      <c r="AH51" s="15">
        <v>1187.8</v>
      </c>
      <c r="AI51" s="15">
        <v>2805.6</v>
      </c>
      <c r="AJ51" s="15">
        <v>1366.9</v>
      </c>
      <c r="AK51" s="15">
        <v>7181.7</v>
      </c>
      <c r="AL51" s="15">
        <v>5986.9</v>
      </c>
      <c r="AM51" s="15">
        <v>3872</v>
      </c>
      <c r="AN51" s="15">
        <v>2125.8000000000002</v>
      </c>
      <c r="AO51" s="15">
        <v>14592.3</v>
      </c>
      <c r="AP51" s="15">
        <v>9846.1</v>
      </c>
      <c r="AQ51" s="15">
        <v>4827.7</v>
      </c>
      <c r="AR51" s="15">
        <v>516.70000000000005</v>
      </c>
      <c r="AS51" s="15">
        <v>748.8</v>
      </c>
      <c r="AT51" s="16">
        <v>452.6</v>
      </c>
    </row>
    <row r="57" spans="1:46" ht="121" thickBot="1" x14ac:dyDescent="0.3">
      <c r="A57" s="1" t="s">
        <v>0</v>
      </c>
      <c r="B57" s="17" t="s">
        <v>1</v>
      </c>
      <c r="C57" s="17" t="s">
        <v>2</v>
      </c>
      <c r="D57" s="17" t="s">
        <v>3</v>
      </c>
      <c r="E57" s="17" t="s">
        <v>4</v>
      </c>
      <c r="F57" s="17" t="s">
        <v>5</v>
      </c>
      <c r="G57" s="17" t="s">
        <v>6</v>
      </c>
      <c r="H57" s="17" t="s">
        <v>7</v>
      </c>
      <c r="I57" s="17" t="s">
        <v>8</v>
      </c>
      <c r="J57" s="17" t="s">
        <v>9</v>
      </c>
      <c r="K57" s="17" t="s">
        <v>10</v>
      </c>
      <c r="L57" s="17" t="s">
        <v>11</v>
      </c>
      <c r="M57" s="17" t="s">
        <v>12</v>
      </c>
      <c r="N57" s="17" t="s">
        <v>13</v>
      </c>
      <c r="O57" s="17" t="s">
        <v>14</v>
      </c>
      <c r="P57" s="17" t="s">
        <v>15</v>
      </c>
      <c r="Q57" s="17" t="s">
        <v>16</v>
      </c>
      <c r="R57" s="17" t="s">
        <v>17</v>
      </c>
      <c r="S57" s="17" t="s">
        <v>18</v>
      </c>
      <c r="T57" s="17" t="s">
        <v>19</v>
      </c>
      <c r="U57" s="17" t="s">
        <v>20</v>
      </c>
      <c r="V57" s="17" t="s">
        <v>21</v>
      </c>
      <c r="W57" s="17" t="s">
        <v>22</v>
      </c>
      <c r="X57" s="17" t="s">
        <v>23</v>
      </c>
      <c r="Y57" s="17" t="s">
        <v>24</v>
      </c>
      <c r="Z57" s="17" t="s">
        <v>25</v>
      </c>
      <c r="AA57" s="17" t="s">
        <v>26</v>
      </c>
      <c r="AB57" s="17" t="s">
        <v>27</v>
      </c>
      <c r="AC57" s="17" t="s">
        <v>28</v>
      </c>
      <c r="AD57" s="17" t="s">
        <v>29</v>
      </c>
      <c r="AE57" s="17" t="s">
        <v>30</v>
      </c>
      <c r="AF57" s="17" t="s">
        <v>31</v>
      </c>
      <c r="AG57" s="17" t="s">
        <v>32</v>
      </c>
      <c r="AH57" s="17" t="s">
        <v>33</v>
      </c>
      <c r="AI57" s="17" t="s">
        <v>34</v>
      </c>
      <c r="AJ57" s="17" t="s">
        <v>35</v>
      </c>
      <c r="AK57" s="17" t="s">
        <v>36</v>
      </c>
      <c r="AL57" s="17" t="s">
        <v>37</v>
      </c>
      <c r="AM57" s="17" t="s">
        <v>38</v>
      </c>
      <c r="AN57" s="17" t="s">
        <v>39</v>
      </c>
      <c r="AO57" s="17" t="s">
        <v>40</v>
      </c>
      <c r="AP57" s="17" t="s">
        <v>41</v>
      </c>
      <c r="AQ57" s="17" t="s">
        <v>42</v>
      </c>
      <c r="AR57" s="17" t="s">
        <v>43</v>
      </c>
      <c r="AS57" s="17" t="s">
        <v>44</v>
      </c>
      <c r="AT57" s="17" t="s">
        <v>45</v>
      </c>
    </row>
    <row r="58" spans="1:46" x14ac:dyDescent="0.25">
      <c r="A58" s="18" t="s">
        <v>46</v>
      </c>
      <c r="B58" s="19">
        <f>B2/B$51</f>
        <v>0.10926280688511904</v>
      </c>
      <c r="C58" s="20">
        <f t="shared" ref="C58:AT64" si="0">C2/C$51</f>
        <v>7.8089412377171854E-4</v>
      </c>
      <c r="D58" s="20">
        <f t="shared" si="0"/>
        <v>0</v>
      </c>
      <c r="E58" s="20">
        <f t="shared" si="0"/>
        <v>1.528748973756476E-3</v>
      </c>
      <c r="F58" s="20">
        <f t="shared" si="0"/>
        <v>3.6868624800294946E-4</v>
      </c>
      <c r="G58" s="20">
        <f t="shared" si="0"/>
        <v>0.32027999020881581</v>
      </c>
      <c r="H58" s="20">
        <f t="shared" si="0"/>
        <v>9.6092042679007585E-3</v>
      </c>
      <c r="I58" s="20">
        <f t="shared" si="0"/>
        <v>0.10142598915444868</v>
      </c>
      <c r="J58" s="20">
        <f t="shared" si="0"/>
        <v>4.1392465426800189E-2</v>
      </c>
      <c r="K58" s="20">
        <f t="shared" si="0"/>
        <v>0</v>
      </c>
      <c r="L58" s="20">
        <f t="shared" si="0"/>
        <v>2.1755776766812306E-2</v>
      </c>
      <c r="M58" s="20">
        <f t="shared" si="0"/>
        <v>3.4582999198075379E-2</v>
      </c>
      <c r="N58" s="20">
        <f t="shared" si="0"/>
        <v>9.6398305084745752E-3</v>
      </c>
      <c r="O58" s="20">
        <f t="shared" si="0"/>
        <v>1.6484200049763623E-3</v>
      </c>
      <c r="P58" s="20">
        <f t="shared" si="0"/>
        <v>6.5192317336141626E-4</v>
      </c>
      <c r="Q58" s="20">
        <f t="shared" si="0"/>
        <v>5.9982862039417305E-4</v>
      </c>
      <c r="R58" s="20">
        <f t="shared" si="0"/>
        <v>4.9640109208240262E-4</v>
      </c>
      <c r="S58" s="20">
        <f t="shared" si="0"/>
        <v>4.8268029528676887E-4</v>
      </c>
      <c r="T58" s="20">
        <f t="shared" si="0"/>
        <v>6.8073519400953036E-4</v>
      </c>
      <c r="U58" s="20">
        <f t="shared" si="0"/>
        <v>5.3569037096558195E-4</v>
      </c>
      <c r="V58" s="20">
        <f t="shared" si="0"/>
        <v>5.3533190578158455E-3</v>
      </c>
      <c r="W58" s="20">
        <f t="shared" si="0"/>
        <v>4.4485350513882495E-3</v>
      </c>
      <c r="X58" s="20">
        <f t="shared" si="0"/>
        <v>4.3608137278416151E-4</v>
      </c>
      <c r="Y58" s="20">
        <f t="shared" si="0"/>
        <v>2.8003360403248392E-4</v>
      </c>
      <c r="Z58" s="20">
        <f t="shared" si="0"/>
        <v>5.4335392358727979E-4</v>
      </c>
      <c r="AA58" s="20">
        <f t="shared" si="0"/>
        <v>1.1499098680002325E-2</v>
      </c>
      <c r="AB58" s="20">
        <f t="shared" si="0"/>
        <v>8.6401005393517297E-4</v>
      </c>
      <c r="AC58" s="20">
        <f t="shared" si="0"/>
        <v>1.7614494212380473E-3</v>
      </c>
      <c r="AD58" s="20">
        <f t="shared" si="0"/>
        <v>1.1506652283351313E-3</v>
      </c>
      <c r="AE58" s="20">
        <f t="shared" si="0"/>
        <v>1.0543227231649764E-3</v>
      </c>
      <c r="AF58" s="20">
        <f t="shared" si="0"/>
        <v>2.8312570781426955E-4</v>
      </c>
      <c r="AG58" s="20">
        <f t="shared" si="0"/>
        <v>3.3112908380245332E-2</v>
      </c>
      <c r="AH58" s="20">
        <f t="shared" si="0"/>
        <v>5.472301734298704E-3</v>
      </c>
      <c r="AI58" s="20">
        <f t="shared" si="0"/>
        <v>5.7028799543769608E-4</v>
      </c>
      <c r="AJ58" s="20">
        <f t="shared" si="0"/>
        <v>5.1210768893115803E-4</v>
      </c>
      <c r="AK58" s="20">
        <f t="shared" si="0"/>
        <v>1.2531851789966166E-4</v>
      </c>
      <c r="AL58" s="20">
        <f t="shared" si="0"/>
        <v>3.1735956839098697E-4</v>
      </c>
      <c r="AM58" s="20">
        <f t="shared" si="0"/>
        <v>9.2975206611570248E-4</v>
      </c>
      <c r="AN58" s="20">
        <f t="shared" si="0"/>
        <v>1.3171511901401824E-3</v>
      </c>
      <c r="AO58" s="20">
        <f t="shared" si="0"/>
        <v>1.329468281216806E-3</v>
      </c>
      <c r="AP58" s="20">
        <f t="shared" si="0"/>
        <v>1.3812575537522471E-3</v>
      </c>
      <c r="AQ58" s="20">
        <f t="shared" si="0"/>
        <v>2.3199453155747043E-3</v>
      </c>
      <c r="AR58" s="20">
        <f t="shared" si="0"/>
        <v>6.9672924327462736E-3</v>
      </c>
      <c r="AS58" s="20">
        <f t="shared" si="0"/>
        <v>6.41025641025641E-3</v>
      </c>
      <c r="AT58" s="21">
        <f t="shared" si="0"/>
        <v>0</v>
      </c>
    </row>
    <row r="59" spans="1:46" x14ac:dyDescent="0.25">
      <c r="A59" s="18" t="s">
        <v>47</v>
      </c>
      <c r="B59" s="22">
        <f t="shared" ref="B59:Q74" si="1">B3/B$51</f>
        <v>1.5191977871307706E-3</v>
      </c>
      <c r="C59" s="4">
        <f t="shared" si="1"/>
        <v>6.2081082839851635E-2</v>
      </c>
      <c r="D59" s="4">
        <f t="shared" si="1"/>
        <v>0</v>
      </c>
      <c r="E59" s="4">
        <f t="shared" si="1"/>
        <v>0</v>
      </c>
      <c r="F59" s="4">
        <f t="shared" si="1"/>
        <v>0</v>
      </c>
      <c r="G59" s="4">
        <f t="shared" si="1"/>
        <v>1.50492383588469E-2</v>
      </c>
      <c r="H59" s="4">
        <f t="shared" si="1"/>
        <v>1.7675793803830829E-4</v>
      </c>
      <c r="I59" s="4">
        <f t="shared" si="1"/>
        <v>0</v>
      </c>
      <c r="J59" s="4">
        <f t="shared" si="1"/>
        <v>0</v>
      </c>
      <c r="K59" s="4">
        <f t="shared" si="1"/>
        <v>0</v>
      </c>
      <c r="L59" s="4">
        <f t="shared" si="1"/>
        <v>5.8555920904463765E-4</v>
      </c>
      <c r="M59" s="4">
        <f t="shared" si="1"/>
        <v>1.553728949478749E-3</v>
      </c>
      <c r="N59" s="4">
        <f t="shared" si="1"/>
        <v>0</v>
      </c>
      <c r="O59" s="4">
        <f t="shared" si="1"/>
        <v>0</v>
      </c>
      <c r="P59" s="4">
        <f t="shared" si="1"/>
        <v>0</v>
      </c>
      <c r="Q59" s="4">
        <f t="shared" si="1"/>
        <v>0</v>
      </c>
      <c r="R59" s="4">
        <f t="shared" si="0"/>
        <v>0</v>
      </c>
      <c r="S59" s="4">
        <f t="shared" si="0"/>
        <v>3.6910846110164682E-4</v>
      </c>
      <c r="T59" s="4">
        <f t="shared" si="0"/>
        <v>0</v>
      </c>
      <c r="U59" s="4">
        <f t="shared" si="0"/>
        <v>0</v>
      </c>
      <c r="V59" s="4">
        <f t="shared" si="0"/>
        <v>0</v>
      </c>
      <c r="W59" s="4">
        <f t="shared" si="0"/>
        <v>0</v>
      </c>
      <c r="X59" s="4">
        <f t="shared" si="0"/>
        <v>0</v>
      </c>
      <c r="Y59" s="4">
        <f t="shared" si="0"/>
        <v>0</v>
      </c>
      <c r="Z59" s="4">
        <f t="shared" si="0"/>
        <v>7.1493937314115766E-6</v>
      </c>
      <c r="AA59" s="4">
        <f t="shared" si="0"/>
        <v>3.5616677327440836E-4</v>
      </c>
      <c r="AB59" s="4">
        <f t="shared" si="0"/>
        <v>2.6182122846520396E-5</v>
      </c>
      <c r="AC59" s="4">
        <f t="shared" si="0"/>
        <v>1.2581781580271769E-4</v>
      </c>
      <c r="AD59" s="4">
        <f t="shared" si="0"/>
        <v>7.1916576770945708E-5</v>
      </c>
      <c r="AE59" s="4">
        <f t="shared" si="0"/>
        <v>5.0205843960236973E-5</v>
      </c>
      <c r="AF59" s="4">
        <f t="shared" si="0"/>
        <v>0</v>
      </c>
      <c r="AG59" s="4">
        <f t="shared" si="0"/>
        <v>7.4731433909388132E-3</v>
      </c>
      <c r="AH59" s="4">
        <f t="shared" si="0"/>
        <v>2.5256777235224784E-4</v>
      </c>
      <c r="AI59" s="4">
        <f t="shared" si="0"/>
        <v>0</v>
      </c>
      <c r="AJ59" s="4">
        <f t="shared" si="0"/>
        <v>0</v>
      </c>
      <c r="AK59" s="4">
        <f t="shared" si="0"/>
        <v>0</v>
      </c>
      <c r="AL59" s="4">
        <f t="shared" si="0"/>
        <v>0</v>
      </c>
      <c r="AM59" s="4">
        <f t="shared" si="0"/>
        <v>0</v>
      </c>
      <c r="AN59" s="4">
        <f t="shared" si="0"/>
        <v>0</v>
      </c>
      <c r="AO59" s="4">
        <f t="shared" si="0"/>
        <v>2.261466663925495E-4</v>
      </c>
      <c r="AP59" s="4">
        <f t="shared" si="0"/>
        <v>9.1406749880663409E-5</v>
      </c>
      <c r="AQ59" s="4">
        <f t="shared" si="0"/>
        <v>1.4499658222341902E-4</v>
      </c>
      <c r="AR59" s="4">
        <f t="shared" si="0"/>
        <v>1.9353590090961874E-4</v>
      </c>
      <c r="AS59" s="4">
        <f t="shared" si="0"/>
        <v>1.3354700854700856E-4</v>
      </c>
      <c r="AT59" s="12">
        <f t="shared" si="0"/>
        <v>0</v>
      </c>
    </row>
    <row r="60" spans="1:46" x14ac:dyDescent="0.25">
      <c r="A60" s="18" t="s">
        <v>48</v>
      </c>
      <c r="B60" s="22">
        <f t="shared" si="1"/>
        <v>2.9141844344332388E-4</v>
      </c>
      <c r="C60" s="4">
        <f t="shared" si="0"/>
        <v>1.3014902062861977E-3</v>
      </c>
      <c r="D60" s="4">
        <f t="shared" si="0"/>
        <v>3.6231884057971015E-3</v>
      </c>
      <c r="E60" s="4">
        <f t="shared" si="0"/>
        <v>2.1798827959120118E-3</v>
      </c>
      <c r="F60" s="4">
        <f t="shared" si="0"/>
        <v>3.9326533120314609E-3</v>
      </c>
      <c r="G60" s="4">
        <f t="shared" si="0"/>
        <v>5.6016870963490183E-4</v>
      </c>
      <c r="H60" s="4">
        <f t="shared" si="0"/>
        <v>1.9282684149633629E-4</v>
      </c>
      <c r="I60" s="4">
        <f t="shared" si="0"/>
        <v>2.0084354288009643E-4</v>
      </c>
      <c r="J60" s="4">
        <f t="shared" si="0"/>
        <v>3.8149737720553174E-4</v>
      </c>
      <c r="K60" s="4">
        <f t="shared" si="0"/>
        <v>0.61176470588235299</v>
      </c>
      <c r="L60" s="4">
        <f t="shared" si="0"/>
        <v>7.6573127336606456E-4</v>
      </c>
      <c r="M60" s="4">
        <f t="shared" si="0"/>
        <v>1.5036086607858861E-4</v>
      </c>
      <c r="N60" s="4">
        <f t="shared" si="0"/>
        <v>2.1186440677966104E-4</v>
      </c>
      <c r="O60" s="4">
        <f t="shared" si="0"/>
        <v>1.2440905697934811E-3</v>
      </c>
      <c r="P60" s="4">
        <f t="shared" si="0"/>
        <v>8.5251491901108269E-4</v>
      </c>
      <c r="Q60" s="4">
        <f t="shared" si="0"/>
        <v>3.8560411311053987E-4</v>
      </c>
      <c r="R60" s="4">
        <f t="shared" si="0"/>
        <v>2.4820054604120131E-4</v>
      </c>
      <c r="S60" s="4">
        <f t="shared" si="0"/>
        <v>5.1107325383304943E-4</v>
      </c>
      <c r="T60" s="4">
        <f t="shared" si="0"/>
        <v>3.4036759700476518E-4</v>
      </c>
      <c r="U60" s="4">
        <f t="shared" si="0"/>
        <v>1.7856345698852731E-4</v>
      </c>
      <c r="V60" s="4">
        <f t="shared" si="0"/>
        <v>0</v>
      </c>
      <c r="W60" s="4">
        <f t="shared" si="0"/>
        <v>2.3009664058904741E-4</v>
      </c>
      <c r="X60" s="4">
        <f t="shared" si="0"/>
        <v>0.13014848570743301</v>
      </c>
      <c r="Y60" s="4">
        <f t="shared" si="0"/>
        <v>0.10207224866984038</v>
      </c>
      <c r="Z60" s="4">
        <f t="shared" si="0"/>
        <v>4.2896362388469454E-4</v>
      </c>
      <c r="AA60" s="4">
        <f t="shared" si="0"/>
        <v>7.5594580450078505E-4</v>
      </c>
      <c r="AB60" s="4">
        <f t="shared" si="0"/>
        <v>2.4349374247263971E-3</v>
      </c>
      <c r="AC60" s="4">
        <f t="shared" si="0"/>
        <v>2.7679919476597892E-3</v>
      </c>
      <c r="AD60" s="4">
        <f t="shared" si="0"/>
        <v>5.0341603739661994E-3</v>
      </c>
      <c r="AE60" s="4">
        <f t="shared" si="0"/>
        <v>8.0329350336379157E-4</v>
      </c>
      <c r="AF60" s="4">
        <f t="shared" si="0"/>
        <v>7.0781426953567391E-4</v>
      </c>
      <c r="AG60" s="4">
        <f t="shared" si="0"/>
        <v>1.720789596597753E-4</v>
      </c>
      <c r="AH60" s="4">
        <f t="shared" si="0"/>
        <v>5.8932480215524502E-4</v>
      </c>
      <c r="AI60" s="4">
        <f t="shared" si="0"/>
        <v>2.4950099800399199E-4</v>
      </c>
      <c r="AJ60" s="4">
        <f t="shared" si="0"/>
        <v>7.3158241275879721E-5</v>
      </c>
      <c r="AK60" s="4">
        <f t="shared" si="0"/>
        <v>1.3924279766629072E-5</v>
      </c>
      <c r="AL60" s="4">
        <f t="shared" si="0"/>
        <v>3.3406270356946003E-5</v>
      </c>
      <c r="AM60" s="4">
        <f t="shared" si="0"/>
        <v>5.1652892561983477E-5</v>
      </c>
      <c r="AN60" s="4">
        <f t="shared" si="0"/>
        <v>1.4112334180073382E-4</v>
      </c>
      <c r="AO60" s="4">
        <f t="shared" si="0"/>
        <v>9.3199838270868881E-4</v>
      </c>
      <c r="AP60" s="4">
        <f t="shared" si="0"/>
        <v>1.6250088867673495E-4</v>
      </c>
      <c r="AQ60" s="4">
        <f t="shared" si="0"/>
        <v>2.0713797460488432E-4</v>
      </c>
      <c r="AR60" s="4">
        <f t="shared" si="0"/>
        <v>3.8707180181923748E-4</v>
      </c>
      <c r="AS60" s="4">
        <f t="shared" si="0"/>
        <v>2.6709401709401712E-4</v>
      </c>
      <c r="AT60" s="12">
        <f t="shared" si="0"/>
        <v>0</v>
      </c>
    </row>
    <row r="61" spans="1:46" x14ac:dyDescent="0.25">
      <c r="A61" s="18" t="s">
        <v>49</v>
      </c>
      <c r="B61" s="22">
        <f t="shared" si="1"/>
        <v>5.2550866850435464E-5</v>
      </c>
      <c r="C61" s="4">
        <f t="shared" si="0"/>
        <v>3.2537255157154944E-4</v>
      </c>
      <c r="D61" s="4">
        <f t="shared" si="0"/>
        <v>0</v>
      </c>
      <c r="E61" s="4">
        <f t="shared" si="0"/>
        <v>3.1707386122356534E-3</v>
      </c>
      <c r="F61" s="4">
        <f t="shared" si="0"/>
        <v>2.9494899840235957E-3</v>
      </c>
      <c r="G61" s="4">
        <f t="shared" si="0"/>
        <v>4.8955920842041838E-4</v>
      </c>
      <c r="H61" s="4">
        <f t="shared" si="0"/>
        <v>2.5710245532844839E-4</v>
      </c>
      <c r="I61" s="4">
        <f t="shared" si="0"/>
        <v>1.8075918859208678E-3</v>
      </c>
      <c r="J61" s="4">
        <f t="shared" si="0"/>
        <v>3.8149737720553174E-4</v>
      </c>
      <c r="K61" s="4">
        <f t="shared" si="0"/>
        <v>1.1764705882352941E-2</v>
      </c>
      <c r="L61" s="4">
        <f t="shared" si="0"/>
        <v>0.26519826434244703</v>
      </c>
      <c r="M61" s="4">
        <f t="shared" si="0"/>
        <v>5.6435445068163587E-2</v>
      </c>
      <c r="N61" s="4">
        <f t="shared" si="0"/>
        <v>8.4745762711864415E-4</v>
      </c>
      <c r="O61" s="4">
        <f t="shared" si="0"/>
        <v>2.5814879323214732E-2</v>
      </c>
      <c r="P61" s="4">
        <f t="shared" si="0"/>
        <v>1.4944085050900157E-2</v>
      </c>
      <c r="Q61" s="4">
        <f t="shared" si="0"/>
        <v>2.8320479862896313E-2</v>
      </c>
      <c r="R61" s="4">
        <f t="shared" si="0"/>
        <v>4.9640109208240262E-4</v>
      </c>
      <c r="S61" s="4">
        <f t="shared" si="0"/>
        <v>1.8994889267461672E-2</v>
      </c>
      <c r="T61" s="4">
        <f t="shared" si="0"/>
        <v>1.7018379850238256E-3</v>
      </c>
      <c r="U61" s="4">
        <f t="shared" si="0"/>
        <v>2.4552475335922505E-4</v>
      </c>
      <c r="V61" s="4">
        <f t="shared" si="0"/>
        <v>2.1413276231263385E-4</v>
      </c>
      <c r="W61" s="4">
        <f t="shared" si="0"/>
        <v>5.3689216137444394E-4</v>
      </c>
      <c r="X61" s="4">
        <f t="shared" si="0"/>
        <v>2.5074678935089285E-3</v>
      </c>
      <c r="Y61" s="4">
        <f t="shared" si="0"/>
        <v>1.9602352282273869E-3</v>
      </c>
      <c r="Z61" s="4">
        <f t="shared" si="0"/>
        <v>1.6765328300160146E-2</v>
      </c>
      <c r="AA61" s="4">
        <f t="shared" si="0"/>
        <v>6.5418386927952544E-4</v>
      </c>
      <c r="AB61" s="4">
        <f t="shared" si="0"/>
        <v>4.7127821123736711E-4</v>
      </c>
      <c r="AC61" s="4">
        <f t="shared" si="0"/>
        <v>5.0327126321087076E-4</v>
      </c>
      <c r="AD61" s="4">
        <f t="shared" si="0"/>
        <v>9.3491549802229422E-4</v>
      </c>
      <c r="AE61" s="4">
        <f t="shared" si="0"/>
        <v>6.5267597148308063E-4</v>
      </c>
      <c r="AF61" s="4">
        <f t="shared" si="0"/>
        <v>1.4156285390713478E-4</v>
      </c>
      <c r="AG61" s="4">
        <f t="shared" si="0"/>
        <v>2.212443767054254E-4</v>
      </c>
      <c r="AH61" s="4">
        <f t="shared" si="0"/>
        <v>7.5770331705674358E-4</v>
      </c>
      <c r="AI61" s="4">
        <f t="shared" si="0"/>
        <v>3.2078699743370403E-4</v>
      </c>
      <c r="AJ61" s="4">
        <f t="shared" si="0"/>
        <v>1.4631648255175944E-4</v>
      </c>
      <c r="AK61" s="4">
        <f t="shared" si="0"/>
        <v>2.5063703579932331E-4</v>
      </c>
      <c r="AL61" s="4">
        <f t="shared" si="0"/>
        <v>6.6812540713892006E-5</v>
      </c>
      <c r="AM61" s="4">
        <f t="shared" si="0"/>
        <v>2.3243801652892562E-4</v>
      </c>
      <c r="AN61" s="4">
        <f t="shared" si="0"/>
        <v>1.8816445573431178E-4</v>
      </c>
      <c r="AO61" s="4">
        <f t="shared" si="0"/>
        <v>3.378494137318997E-3</v>
      </c>
      <c r="AP61" s="4">
        <f t="shared" si="0"/>
        <v>1.5234458313443901E-4</v>
      </c>
      <c r="AQ61" s="4">
        <f t="shared" si="0"/>
        <v>2.2785177206537276E-4</v>
      </c>
      <c r="AR61" s="4">
        <f t="shared" si="0"/>
        <v>3.8707180181923748E-4</v>
      </c>
      <c r="AS61" s="4">
        <f t="shared" si="0"/>
        <v>2.6709401709401712E-4</v>
      </c>
      <c r="AT61" s="12">
        <f t="shared" si="0"/>
        <v>0</v>
      </c>
    </row>
    <row r="62" spans="1:46" x14ac:dyDescent="0.25">
      <c r="A62" s="18" t="s">
        <v>50</v>
      </c>
      <c r="B62" s="22">
        <f t="shared" si="1"/>
        <v>4.8251250471763465E-4</v>
      </c>
      <c r="C62" s="4">
        <f t="shared" si="0"/>
        <v>2.0173098197436064E-3</v>
      </c>
      <c r="D62" s="4">
        <f t="shared" si="0"/>
        <v>0.14130434782608695</v>
      </c>
      <c r="E62" s="4">
        <f t="shared" si="0"/>
        <v>8.0287631288395667E-2</v>
      </c>
      <c r="F62" s="4">
        <f t="shared" si="0"/>
        <v>0.17955020277743639</v>
      </c>
      <c r="G62" s="4">
        <f t="shared" si="0"/>
        <v>3.5304750607241715E-4</v>
      </c>
      <c r="H62" s="4">
        <f t="shared" si="0"/>
        <v>1.6068903458028024E-5</v>
      </c>
      <c r="I62" s="4">
        <f t="shared" si="0"/>
        <v>0</v>
      </c>
      <c r="J62" s="4">
        <f t="shared" si="0"/>
        <v>2.4797329518359561E-3</v>
      </c>
      <c r="K62" s="4">
        <f t="shared" si="0"/>
        <v>3.5294117647058823E-2</v>
      </c>
      <c r="L62" s="4">
        <f t="shared" si="0"/>
        <v>2.2071077879374803E-3</v>
      </c>
      <c r="M62" s="4">
        <f t="shared" si="0"/>
        <v>5.012028869286287E-5</v>
      </c>
      <c r="N62" s="4">
        <f t="shared" si="0"/>
        <v>6.3559322033898301E-4</v>
      </c>
      <c r="O62" s="4">
        <f t="shared" si="0"/>
        <v>1.716844986315004E-2</v>
      </c>
      <c r="P62" s="4">
        <f t="shared" si="0"/>
        <v>8.3245574444611621E-3</v>
      </c>
      <c r="Q62" s="4">
        <f t="shared" si="0"/>
        <v>1.2853470437017994E-4</v>
      </c>
      <c r="R62" s="4">
        <f t="shared" si="0"/>
        <v>0</v>
      </c>
      <c r="S62" s="4">
        <f t="shared" si="0"/>
        <v>8.5178875638841563E-5</v>
      </c>
      <c r="T62" s="4">
        <f t="shared" si="0"/>
        <v>3.4036759700476518E-4</v>
      </c>
      <c r="U62" s="4">
        <f t="shared" si="0"/>
        <v>0</v>
      </c>
      <c r="V62" s="4">
        <f t="shared" si="0"/>
        <v>0</v>
      </c>
      <c r="W62" s="4">
        <f t="shared" si="0"/>
        <v>7.6698880196349146E-5</v>
      </c>
      <c r="X62" s="4">
        <f t="shared" si="0"/>
        <v>4.3390096592024066E-3</v>
      </c>
      <c r="Y62" s="4">
        <f t="shared" si="0"/>
        <v>3.2203864463735644E-3</v>
      </c>
      <c r="Z62" s="4">
        <f t="shared" si="0"/>
        <v>1.6722431937771676E-2</v>
      </c>
      <c r="AA62" s="4">
        <f t="shared" si="0"/>
        <v>2.9074838634645577E-5</v>
      </c>
      <c r="AB62" s="4">
        <f t="shared" si="0"/>
        <v>1.2829240194794996E-3</v>
      </c>
      <c r="AC62" s="4">
        <f t="shared" si="0"/>
        <v>0</v>
      </c>
      <c r="AD62" s="4">
        <f t="shared" si="0"/>
        <v>0</v>
      </c>
      <c r="AE62" s="4">
        <f t="shared" si="0"/>
        <v>2.5102921980118485E-4</v>
      </c>
      <c r="AF62" s="4">
        <f t="shared" si="0"/>
        <v>0</v>
      </c>
      <c r="AG62" s="4">
        <f t="shared" si="0"/>
        <v>2.4582708522825045E-5</v>
      </c>
      <c r="AH62" s="4">
        <f t="shared" si="0"/>
        <v>0</v>
      </c>
      <c r="AI62" s="4">
        <f t="shared" si="0"/>
        <v>0</v>
      </c>
      <c r="AJ62" s="4">
        <f t="shared" si="0"/>
        <v>0</v>
      </c>
      <c r="AK62" s="4">
        <f t="shared" si="0"/>
        <v>0</v>
      </c>
      <c r="AL62" s="4">
        <f t="shared" si="0"/>
        <v>1.3362508142778401E-4</v>
      </c>
      <c r="AM62" s="4">
        <f t="shared" si="0"/>
        <v>5.4235537190082644E-4</v>
      </c>
      <c r="AN62" s="4">
        <f t="shared" si="0"/>
        <v>1.4112334180073382E-4</v>
      </c>
      <c r="AO62" s="4">
        <f t="shared" si="0"/>
        <v>1.8502909068481325E-4</v>
      </c>
      <c r="AP62" s="4">
        <f t="shared" si="0"/>
        <v>2.0312611084591869E-5</v>
      </c>
      <c r="AQ62" s="4">
        <f t="shared" si="0"/>
        <v>0</v>
      </c>
      <c r="AR62" s="4">
        <f t="shared" si="0"/>
        <v>0</v>
      </c>
      <c r="AS62" s="4">
        <f t="shared" si="0"/>
        <v>0</v>
      </c>
      <c r="AT62" s="12">
        <f t="shared" si="0"/>
        <v>0</v>
      </c>
    </row>
    <row r="63" spans="1:46" x14ac:dyDescent="0.25">
      <c r="A63" s="18" t="s">
        <v>51</v>
      </c>
      <c r="B63" s="22">
        <f t="shared" si="1"/>
        <v>8.2667290907266835E-2</v>
      </c>
      <c r="C63" s="4">
        <f t="shared" si="0"/>
        <v>5.6614823973449597E-3</v>
      </c>
      <c r="D63" s="4">
        <f t="shared" si="0"/>
        <v>0</v>
      </c>
      <c r="E63" s="4">
        <f t="shared" si="0"/>
        <v>5.945134897941851E-4</v>
      </c>
      <c r="F63" s="4">
        <f t="shared" si="0"/>
        <v>1.3518495760108148E-3</v>
      </c>
      <c r="G63" s="4">
        <f t="shared" si="0"/>
        <v>0.12445159954056753</v>
      </c>
      <c r="H63" s="4">
        <f t="shared" si="0"/>
        <v>5.4473582722714999E-3</v>
      </c>
      <c r="I63" s="4">
        <f t="shared" si="0"/>
        <v>2.4101225145611569E-3</v>
      </c>
      <c r="J63" s="4">
        <f t="shared" si="0"/>
        <v>3.3381020505484026E-3</v>
      </c>
      <c r="K63" s="4">
        <f t="shared" si="0"/>
        <v>0</v>
      </c>
      <c r="L63" s="4">
        <f t="shared" si="0"/>
        <v>3.2130684803987806E-3</v>
      </c>
      <c r="M63" s="4">
        <f t="shared" si="0"/>
        <v>4.0597433841218925E-3</v>
      </c>
      <c r="N63" s="4">
        <f t="shared" si="0"/>
        <v>6.6737288135593218E-3</v>
      </c>
      <c r="O63" s="4">
        <f t="shared" si="0"/>
        <v>1.7728290619557106E-3</v>
      </c>
      <c r="P63" s="4">
        <f t="shared" si="0"/>
        <v>1.3038463467228325E-3</v>
      </c>
      <c r="Q63" s="4">
        <f t="shared" si="0"/>
        <v>2.0137103684661527E-3</v>
      </c>
      <c r="R63" s="4">
        <f t="shared" si="0"/>
        <v>2.233804914370812E-3</v>
      </c>
      <c r="S63" s="4">
        <f t="shared" si="0"/>
        <v>1.8739352640545143E-3</v>
      </c>
      <c r="T63" s="4">
        <f t="shared" si="0"/>
        <v>3.0633083730428863E-3</v>
      </c>
      <c r="U63" s="4">
        <f t="shared" si="0"/>
        <v>1.1606624704254276E-3</v>
      </c>
      <c r="V63" s="4">
        <f t="shared" si="0"/>
        <v>1.7130620985010708E-3</v>
      </c>
      <c r="W63" s="4">
        <f t="shared" si="0"/>
        <v>2.3009664058904742E-3</v>
      </c>
      <c r="X63" s="4">
        <f t="shared" si="0"/>
        <v>6.7592612781545037E-4</v>
      </c>
      <c r="Y63" s="4">
        <f t="shared" si="0"/>
        <v>5.6006720806496785E-4</v>
      </c>
      <c r="Z63" s="4">
        <f t="shared" si="0"/>
        <v>1.415579958819492E-3</v>
      </c>
      <c r="AA63" s="4">
        <f t="shared" si="0"/>
        <v>8.7297203000523335E-3</v>
      </c>
      <c r="AB63" s="4">
        <f t="shared" si="0"/>
        <v>2.5658480389589991E-3</v>
      </c>
      <c r="AC63" s="4">
        <f t="shared" si="0"/>
        <v>3.6487166582788123E-3</v>
      </c>
      <c r="AD63" s="4">
        <f t="shared" si="0"/>
        <v>6.4005753326141675E-3</v>
      </c>
      <c r="AE63" s="4">
        <f t="shared" si="0"/>
        <v>3.4642032332563512E-3</v>
      </c>
      <c r="AF63" s="4">
        <f t="shared" si="0"/>
        <v>1.2740656851642129E-3</v>
      </c>
      <c r="AG63" s="4">
        <f t="shared" si="0"/>
        <v>0.16553995919270384</v>
      </c>
      <c r="AH63" s="4">
        <f t="shared" si="0"/>
        <v>1.5995958915642365E-2</v>
      </c>
      <c r="AI63" s="4">
        <f t="shared" si="0"/>
        <v>1.8534359851725122E-3</v>
      </c>
      <c r="AJ63" s="4">
        <f t="shared" si="0"/>
        <v>8.778988953105566E-4</v>
      </c>
      <c r="AK63" s="4">
        <f t="shared" si="0"/>
        <v>1.2531851789966163E-3</v>
      </c>
      <c r="AL63" s="4">
        <f t="shared" si="0"/>
        <v>3.1735956839098697E-4</v>
      </c>
      <c r="AM63" s="4">
        <f t="shared" si="0"/>
        <v>1.1621900826446281E-3</v>
      </c>
      <c r="AN63" s="4">
        <f t="shared" si="0"/>
        <v>1.0349045065387147E-3</v>
      </c>
      <c r="AO63" s="4">
        <f t="shared" si="0"/>
        <v>6.6541943353686534E-3</v>
      </c>
      <c r="AP63" s="4">
        <f t="shared" si="0"/>
        <v>3.3414245234153622E-3</v>
      </c>
      <c r="AQ63" s="4">
        <f t="shared" si="0"/>
        <v>4.4120388590840366E-3</v>
      </c>
      <c r="AR63" s="4">
        <f t="shared" si="0"/>
        <v>8.7091155409328418E-3</v>
      </c>
      <c r="AS63" s="4">
        <f t="shared" si="0"/>
        <v>8.814102564102564E-3</v>
      </c>
      <c r="AT63" s="12">
        <f t="shared" si="0"/>
        <v>0</v>
      </c>
    </row>
    <row r="64" spans="1:46" x14ac:dyDescent="0.25">
      <c r="A64" s="18" t="s">
        <v>52</v>
      </c>
      <c r="B64" s="22">
        <f t="shared" si="1"/>
        <v>1.2182246406237311E-3</v>
      </c>
      <c r="C64" s="4">
        <f t="shared" si="0"/>
        <v>9.1104314440033831E-4</v>
      </c>
      <c r="D64" s="4">
        <f t="shared" si="0"/>
        <v>0</v>
      </c>
      <c r="E64" s="4">
        <f t="shared" si="0"/>
        <v>3.3972199416810572E-4</v>
      </c>
      <c r="F64" s="4">
        <f t="shared" si="0"/>
        <v>3.6868624800294946E-4</v>
      </c>
      <c r="G64" s="4">
        <f t="shared" si="0"/>
        <v>5.648760097158674E-4</v>
      </c>
      <c r="H64" s="4">
        <f t="shared" si="0"/>
        <v>0.29569996143463173</v>
      </c>
      <c r="I64" s="4">
        <f t="shared" ref="C64:AT69" si="2">I8/I$51</f>
        <v>4.619401486242217E-3</v>
      </c>
      <c r="J64" s="4">
        <f t="shared" si="2"/>
        <v>5.7224606580829757E-3</v>
      </c>
      <c r="K64" s="4">
        <f t="shared" si="2"/>
        <v>0</v>
      </c>
      <c r="L64" s="4">
        <f t="shared" si="2"/>
        <v>1.1410897407023706E-3</v>
      </c>
      <c r="M64" s="4">
        <f t="shared" si="2"/>
        <v>1.2028869286287089E-3</v>
      </c>
      <c r="N64" s="4">
        <f t="shared" si="2"/>
        <v>1.1122881355932203E-2</v>
      </c>
      <c r="O64" s="4">
        <f t="shared" si="2"/>
        <v>5.909430206519035E-4</v>
      </c>
      <c r="P64" s="4">
        <f t="shared" si="2"/>
        <v>2.0059174564966654E-4</v>
      </c>
      <c r="Q64" s="4">
        <f t="shared" si="2"/>
        <v>8.5689802913453304E-4</v>
      </c>
      <c r="R64" s="4">
        <f t="shared" si="2"/>
        <v>1.737403822288409E-3</v>
      </c>
      <c r="S64" s="4">
        <f t="shared" si="2"/>
        <v>1.0221465076660989E-3</v>
      </c>
      <c r="T64" s="4">
        <f t="shared" si="2"/>
        <v>4.0844111640571815E-3</v>
      </c>
      <c r="U64" s="4">
        <f t="shared" si="2"/>
        <v>9.3745814918976835E-4</v>
      </c>
      <c r="V64" s="4">
        <f t="shared" si="2"/>
        <v>2.1413276231263385E-4</v>
      </c>
      <c r="W64" s="4">
        <f t="shared" si="2"/>
        <v>2.4697039423224425E-2</v>
      </c>
      <c r="X64" s="4">
        <f t="shared" si="2"/>
        <v>1.0902034319604038E-4</v>
      </c>
      <c r="Y64" s="4">
        <f t="shared" si="2"/>
        <v>1.4001680201624196E-4</v>
      </c>
      <c r="Z64" s="4">
        <f t="shared" si="2"/>
        <v>4.575611988103409E-4</v>
      </c>
      <c r="AA64" s="4">
        <f t="shared" si="2"/>
        <v>9.2312612664999705E-4</v>
      </c>
      <c r="AB64" s="4">
        <f t="shared" si="2"/>
        <v>4.7127821123736711E-4</v>
      </c>
      <c r="AC64" s="4">
        <f t="shared" si="2"/>
        <v>5.0327126321087076E-4</v>
      </c>
      <c r="AD64" s="4">
        <f t="shared" si="2"/>
        <v>9.3491549802229422E-4</v>
      </c>
      <c r="AE64" s="4">
        <f t="shared" si="2"/>
        <v>4.5185259564213277E-4</v>
      </c>
      <c r="AF64" s="4">
        <f t="shared" si="2"/>
        <v>1.4156285390713478E-4</v>
      </c>
      <c r="AG64" s="4">
        <f t="shared" si="2"/>
        <v>1.081639175004302E-3</v>
      </c>
      <c r="AH64" s="4">
        <f t="shared" si="2"/>
        <v>3.5359488129314701E-3</v>
      </c>
      <c r="AI64" s="4">
        <f t="shared" si="2"/>
        <v>1.4257199885942402E-4</v>
      </c>
      <c r="AJ64" s="4">
        <f t="shared" si="2"/>
        <v>3.6579120637939862E-4</v>
      </c>
      <c r="AK64" s="4">
        <f t="shared" si="2"/>
        <v>6.9621398833145359E-5</v>
      </c>
      <c r="AL64" s="4">
        <f t="shared" si="2"/>
        <v>1.5032821660625702E-4</v>
      </c>
      <c r="AM64" s="4">
        <f t="shared" si="2"/>
        <v>5.6818181818181826E-4</v>
      </c>
      <c r="AN64" s="4">
        <f t="shared" si="2"/>
        <v>8.4674005080440302E-4</v>
      </c>
      <c r="AO64" s="4">
        <f t="shared" si="2"/>
        <v>3.4127587837421104E-3</v>
      </c>
      <c r="AP64" s="4">
        <f t="shared" si="2"/>
        <v>5.6875311036857232E-4</v>
      </c>
      <c r="AQ64" s="4">
        <f t="shared" si="2"/>
        <v>7.6641050603807204E-4</v>
      </c>
      <c r="AR64" s="4">
        <f t="shared" si="2"/>
        <v>9.6767950454809356E-4</v>
      </c>
      <c r="AS64" s="4">
        <f t="shared" si="2"/>
        <v>1.6025641025641025E-3</v>
      </c>
      <c r="AT64" s="12">
        <f t="shared" si="2"/>
        <v>0</v>
      </c>
    </row>
    <row r="65" spans="1:46" x14ac:dyDescent="0.25">
      <c r="A65" s="18" t="s">
        <v>53</v>
      </c>
      <c r="B65" s="22">
        <f t="shared" si="1"/>
        <v>3.9174282561233701E-4</v>
      </c>
      <c r="C65" s="4">
        <f t="shared" si="2"/>
        <v>6.5074510314309887E-5</v>
      </c>
      <c r="D65" s="4">
        <f t="shared" si="2"/>
        <v>0</v>
      </c>
      <c r="E65" s="4">
        <f t="shared" si="2"/>
        <v>1.6986099708405286E-4</v>
      </c>
      <c r="F65" s="4">
        <f t="shared" si="2"/>
        <v>6.1447708000491577E-4</v>
      </c>
      <c r="G65" s="4">
        <f t="shared" si="2"/>
        <v>4.7073000809655618E-4</v>
      </c>
      <c r="H65" s="4">
        <f t="shared" si="2"/>
        <v>2.3299910014140638E-3</v>
      </c>
      <c r="I65" s="4">
        <f t="shared" si="2"/>
        <v>0.26290419763004624</v>
      </c>
      <c r="J65" s="4">
        <f t="shared" si="2"/>
        <v>8.9651883643299957E-3</v>
      </c>
      <c r="K65" s="4">
        <f t="shared" si="2"/>
        <v>0</v>
      </c>
      <c r="L65" s="4">
        <f t="shared" si="2"/>
        <v>9.0086032160713482E-5</v>
      </c>
      <c r="M65" s="4">
        <f t="shared" si="2"/>
        <v>1.0024057738572574E-4</v>
      </c>
      <c r="N65" s="4">
        <f t="shared" si="2"/>
        <v>2.6483050847457626E-3</v>
      </c>
      <c r="O65" s="4">
        <f t="shared" si="2"/>
        <v>2.2393630256282659E-3</v>
      </c>
      <c r="P65" s="4">
        <f t="shared" si="2"/>
        <v>1.5044380923724988E-4</v>
      </c>
      <c r="Q65" s="4">
        <f t="shared" si="2"/>
        <v>9.9400171379605828E-3</v>
      </c>
      <c r="R65" s="4">
        <f t="shared" si="2"/>
        <v>1.2410027302060066E-4</v>
      </c>
      <c r="S65" s="4">
        <f t="shared" si="2"/>
        <v>1.902328222600795E-3</v>
      </c>
      <c r="T65" s="4">
        <f t="shared" si="2"/>
        <v>1.7018379850238256E-3</v>
      </c>
      <c r="U65" s="4">
        <f t="shared" si="2"/>
        <v>1.5177893844024821E-3</v>
      </c>
      <c r="V65" s="4">
        <f t="shared" si="2"/>
        <v>3.1049250535331904E-2</v>
      </c>
      <c r="W65" s="4">
        <f t="shared" si="2"/>
        <v>6.1435803037275652E-2</v>
      </c>
      <c r="X65" s="4">
        <f t="shared" si="2"/>
        <v>4.3608137278416153E-5</v>
      </c>
      <c r="Y65" s="4">
        <f t="shared" si="2"/>
        <v>0</v>
      </c>
      <c r="Z65" s="4">
        <f t="shared" si="2"/>
        <v>3.1857698467169987E-2</v>
      </c>
      <c r="AA65" s="4">
        <f t="shared" si="2"/>
        <v>2.158806768622434E-3</v>
      </c>
      <c r="AB65" s="4">
        <f t="shared" si="2"/>
        <v>1.8327485992564274E-4</v>
      </c>
      <c r="AC65" s="4">
        <f t="shared" si="2"/>
        <v>1.2581781580271769E-4</v>
      </c>
      <c r="AD65" s="4">
        <f t="shared" si="2"/>
        <v>2.8766630708378283E-4</v>
      </c>
      <c r="AE65" s="4">
        <f t="shared" si="2"/>
        <v>2.5102921980118485E-4</v>
      </c>
      <c r="AF65" s="4">
        <f t="shared" si="2"/>
        <v>1.4156285390713478E-4</v>
      </c>
      <c r="AG65" s="4">
        <f t="shared" si="2"/>
        <v>7.3748125568475132E-5</v>
      </c>
      <c r="AH65" s="4">
        <f t="shared" si="2"/>
        <v>4.5462199023404617E-3</v>
      </c>
      <c r="AI65" s="4">
        <f t="shared" si="2"/>
        <v>1.06928999144568E-4</v>
      </c>
      <c r="AJ65" s="4">
        <f t="shared" si="2"/>
        <v>5.1210768893115803E-4</v>
      </c>
      <c r="AK65" s="4">
        <f t="shared" si="2"/>
        <v>6.9621398833145359E-5</v>
      </c>
      <c r="AL65" s="4">
        <f t="shared" si="2"/>
        <v>5.0109405535418998E-4</v>
      </c>
      <c r="AM65" s="4">
        <f t="shared" si="2"/>
        <v>6.9731404958677694E-4</v>
      </c>
      <c r="AN65" s="4">
        <f t="shared" si="2"/>
        <v>1.3641923040737603E-3</v>
      </c>
      <c r="AO65" s="4">
        <f t="shared" si="2"/>
        <v>6.852929284622712E-5</v>
      </c>
      <c r="AP65" s="4">
        <f t="shared" si="2"/>
        <v>5.0781527711479672E-5</v>
      </c>
      <c r="AQ65" s="4">
        <f t="shared" si="2"/>
        <v>8.2855189841953727E-5</v>
      </c>
      <c r="AR65" s="4">
        <f t="shared" si="2"/>
        <v>2.9030385136442809E-3</v>
      </c>
      <c r="AS65" s="4">
        <f t="shared" si="2"/>
        <v>3.0715811965811965E-3</v>
      </c>
      <c r="AT65" s="12">
        <f t="shared" si="2"/>
        <v>0</v>
      </c>
    </row>
    <row r="66" spans="1:46" x14ac:dyDescent="0.25">
      <c r="A66" s="18" t="s">
        <v>54</v>
      </c>
      <c r="B66" s="22">
        <f t="shared" si="1"/>
        <v>2.8664109191146614E-4</v>
      </c>
      <c r="C66" s="4">
        <f t="shared" si="2"/>
        <v>5.205960825144791E-4</v>
      </c>
      <c r="D66" s="4">
        <f t="shared" si="2"/>
        <v>0</v>
      </c>
      <c r="E66" s="4">
        <f t="shared" si="2"/>
        <v>1.7552303032018798E-3</v>
      </c>
      <c r="F66" s="4">
        <f t="shared" si="2"/>
        <v>3.6868624800294946E-4</v>
      </c>
      <c r="G66" s="4">
        <f t="shared" si="2"/>
        <v>9.9888907718089209E-3</v>
      </c>
      <c r="H66" s="4">
        <f t="shared" si="2"/>
        <v>1.2694433731842139E-2</v>
      </c>
      <c r="I66" s="4">
        <f t="shared" si="2"/>
        <v>1.8075918859208678E-3</v>
      </c>
      <c r="J66" s="4">
        <f t="shared" si="2"/>
        <v>0.2050548402479733</v>
      </c>
      <c r="K66" s="4">
        <f t="shared" si="2"/>
        <v>0</v>
      </c>
      <c r="L66" s="4">
        <f t="shared" si="2"/>
        <v>5.4351906070297133E-3</v>
      </c>
      <c r="M66" s="4">
        <f t="shared" si="2"/>
        <v>1.0926222935044106E-2</v>
      </c>
      <c r="N66" s="4">
        <f t="shared" si="2"/>
        <v>7.0974576271186441E-3</v>
      </c>
      <c r="O66" s="4">
        <f t="shared" si="2"/>
        <v>9.4239860661856183E-3</v>
      </c>
      <c r="P66" s="4">
        <f t="shared" si="2"/>
        <v>1.4542901559600823E-3</v>
      </c>
      <c r="Q66" s="4">
        <f t="shared" si="2"/>
        <v>2.0137103684661527E-3</v>
      </c>
      <c r="R66" s="4">
        <f t="shared" si="2"/>
        <v>2.1097046413502112E-3</v>
      </c>
      <c r="S66" s="4">
        <f t="shared" si="2"/>
        <v>3.8614423622941509E-3</v>
      </c>
      <c r="T66" s="4">
        <f t="shared" si="2"/>
        <v>6.8073519400953025E-3</v>
      </c>
      <c r="U66" s="4">
        <f t="shared" si="2"/>
        <v>1.7186732735145753E-3</v>
      </c>
      <c r="V66" s="4">
        <f t="shared" si="2"/>
        <v>4.282655246252677E-4</v>
      </c>
      <c r="W66" s="4">
        <f t="shared" si="2"/>
        <v>3.758245129621108E-3</v>
      </c>
      <c r="X66" s="4">
        <f t="shared" si="2"/>
        <v>1.0247912260427795E-3</v>
      </c>
      <c r="Y66" s="4">
        <f t="shared" si="2"/>
        <v>8.4010081209745166E-4</v>
      </c>
      <c r="Z66" s="4">
        <f t="shared" si="2"/>
        <v>7.0064058567833448E-4</v>
      </c>
      <c r="AA66" s="4">
        <f t="shared" si="2"/>
        <v>5.7132057917078554E-3</v>
      </c>
      <c r="AB66" s="4">
        <f t="shared" si="2"/>
        <v>1.1781955280934179E-3</v>
      </c>
      <c r="AC66" s="4">
        <f t="shared" si="2"/>
        <v>8.8072471061902363E-4</v>
      </c>
      <c r="AD66" s="4">
        <f t="shared" si="2"/>
        <v>1.7259978425026969E-3</v>
      </c>
      <c r="AE66" s="4">
        <f t="shared" si="2"/>
        <v>2.0584396023697158E-3</v>
      </c>
      <c r="AF66" s="4">
        <f t="shared" si="2"/>
        <v>4.8131370328425823E-3</v>
      </c>
      <c r="AG66" s="4">
        <f t="shared" si="2"/>
        <v>1.671624179552103E-3</v>
      </c>
      <c r="AH66" s="4">
        <f t="shared" si="2"/>
        <v>6.6762081158444189E-2</v>
      </c>
      <c r="AI66" s="4">
        <f t="shared" si="2"/>
        <v>2.8514399771884802E-3</v>
      </c>
      <c r="AJ66" s="4">
        <f t="shared" si="2"/>
        <v>2.3410637208281511E-3</v>
      </c>
      <c r="AK66" s="4">
        <f t="shared" si="2"/>
        <v>4.1494353704554631E-3</v>
      </c>
      <c r="AL66" s="4">
        <f t="shared" si="2"/>
        <v>6.1801600160350106E-4</v>
      </c>
      <c r="AM66" s="4">
        <f t="shared" si="2"/>
        <v>3.7190082644628099E-3</v>
      </c>
      <c r="AN66" s="4">
        <f t="shared" si="2"/>
        <v>2.9165490638818326E-3</v>
      </c>
      <c r="AO66" s="4">
        <f t="shared" si="2"/>
        <v>3.9267284800888142E-3</v>
      </c>
      <c r="AP66" s="4">
        <f t="shared" si="2"/>
        <v>7.1195701851494491E-3</v>
      </c>
      <c r="AQ66" s="4">
        <f t="shared" si="2"/>
        <v>6.3384220229094606E-3</v>
      </c>
      <c r="AR66" s="4">
        <f t="shared" si="2"/>
        <v>1.9160054190052254E-2</v>
      </c>
      <c r="AS66" s="4">
        <f t="shared" si="2"/>
        <v>1.776175213675214E-2</v>
      </c>
      <c r="AT66" s="12">
        <f t="shared" si="2"/>
        <v>0</v>
      </c>
    </row>
    <row r="67" spans="1:46" x14ac:dyDescent="0.25">
      <c r="A67" s="18" t="s">
        <v>55</v>
      </c>
      <c r="B67" s="22">
        <f t="shared" si="1"/>
        <v>1.3811323278600811E-2</v>
      </c>
      <c r="C67" s="4">
        <f t="shared" si="2"/>
        <v>6.5725255417452985E-2</v>
      </c>
      <c r="D67" s="4">
        <f t="shared" si="2"/>
        <v>7.246376811594203E-3</v>
      </c>
      <c r="E67" s="4">
        <f t="shared" si="2"/>
        <v>2.9017920335192366E-2</v>
      </c>
      <c r="F67" s="4">
        <f t="shared" si="2"/>
        <v>9.217156200073736E-3</v>
      </c>
      <c r="G67" s="4">
        <f t="shared" si="2"/>
        <v>8.4496036453331827E-3</v>
      </c>
      <c r="H67" s="4">
        <f t="shared" si="2"/>
        <v>3.7279856022625017E-3</v>
      </c>
      <c r="I67" s="4">
        <f t="shared" si="2"/>
        <v>1.8075918859208678E-3</v>
      </c>
      <c r="J67" s="4">
        <f t="shared" si="2"/>
        <v>8.9651883643299957E-3</v>
      </c>
      <c r="K67" s="4">
        <f t="shared" si="2"/>
        <v>8.2352941176470587E-2</v>
      </c>
      <c r="L67" s="4">
        <f t="shared" si="2"/>
        <v>9.3989760221011073E-3</v>
      </c>
      <c r="M67" s="4">
        <f t="shared" si="2"/>
        <v>3.859262229350441E-3</v>
      </c>
      <c r="N67" s="4">
        <f t="shared" si="2"/>
        <v>1.5254237288135594E-2</v>
      </c>
      <c r="O67" s="4">
        <f t="shared" si="2"/>
        <v>5.4677780542423497E-2</v>
      </c>
      <c r="P67" s="4">
        <f t="shared" si="2"/>
        <v>1.2536984103104158E-2</v>
      </c>
      <c r="Q67" s="4">
        <f t="shared" si="2"/>
        <v>9.2544987146529565E-3</v>
      </c>
      <c r="R67" s="4">
        <f t="shared" si="2"/>
        <v>2.6061057334326137E-3</v>
      </c>
      <c r="S67" s="4">
        <f t="shared" si="2"/>
        <v>2.4701873935264055E-3</v>
      </c>
      <c r="T67" s="4">
        <f t="shared" si="2"/>
        <v>8.168822328114363E-3</v>
      </c>
      <c r="U67" s="4">
        <f t="shared" si="2"/>
        <v>8.102316860854426E-3</v>
      </c>
      <c r="V67" s="4">
        <f t="shared" si="2"/>
        <v>4.282655246252677E-4</v>
      </c>
      <c r="W67" s="4">
        <f t="shared" si="2"/>
        <v>8.283479061205707E-3</v>
      </c>
      <c r="X67" s="4">
        <f t="shared" si="2"/>
        <v>2.5292719621481368E-2</v>
      </c>
      <c r="Y67" s="4">
        <f t="shared" si="2"/>
        <v>2.0022402688322598E-2</v>
      </c>
      <c r="Z67" s="4">
        <f t="shared" si="2"/>
        <v>1.7330130404941659E-2</v>
      </c>
      <c r="AA67" s="4">
        <f t="shared" si="2"/>
        <v>1.67761818921905E-2</v>
      </c>
      <c r="AB67" s="4">
        <f t="shared" si="2"/>
        <v>0.12114468241084987</v>
      </c>
      <c r="AC67" s="4">
        <f t="shared" si="2"/>
        <v>0.1110971313537997</v>
      </c>
      <c r="AD67" s="4">
        <f t="shared" si="2"/>
        <v>0.25429701546206401</v>
      </c>
      <c r="AE67" s="4">
        <f t="shared" si="2"/>
        <v>3.4391003112762324E-2</v>
      </c>
      <c r="AF67" s="4">
        <f t="shared" si="2"/>
        <v>3.7938844847112123E-2</v>
      </c>
      <c r="AG67" s="4">
        <f t="shared" si="2"/>
        <v>5.6294402517269347E-3</v>
      </c>
      <c r="AH67" s="4">
        <f t="shared" si="2"/>
        <v>1.6332715945445362E-2</v>
      </c>
      <c r="AI67" s="4">
        <f t="shared" si="2"/>
        <v>1.2475049900199601E-2</v>
      </c>
      <c r="AJ67" s="4">
        <f t="shared" si="2"/>
        <v>1.316848342965835E-3</v>
      </c>
      <c r="AK67" s="4">
        <f t="shared" si="2"/>
        <v>2.7848559533258144E-5</v>
      </c>
      <c r="AL67" s="4">
        <f t="shared" si="2"/>
        <v>1.085703786600745E-3</v>
      </c>
      <c r="AM67" s="4">
        <f t="shared" si="2"/>
        <v>1.9369834710743802E-3</v>
      </c>
      <c r="AN67" s="4">
        <f t="shared" si="2"/>
        <v>5.5978925580957755E-3</v>
      </c>
      <c r="AO67" s="4">
        <f t="shared" si="2"/>
        <v>2.0140759167506149E-2</v>
      </c>
      <c r="AP67" s="4">
        <f t="shared" si="2"/>
        <v>6.4086287971887347E-3</v>
      </c>
      <c r="AQ67" s="4">
        <f t="shared" si="2"/>
        <v>8.9069329080100259E-3</v>
      </c>
      <c r="AR67" s="4">
        <f t="shared" si="2"/>
        <v>9.6767950454809352E-3</v>
      </c>
      <c r="AS67" s="4">
        <f t="shared" si="2"/>
        <v>9.8824786324786338E-3</v>
      </c>
      <c r="AT67" s="12">
        <f t="shared" si="2"/>
        <v>0</v>
      </c>
    </row>
    <row r="68" spans="1:46" x14ac:dyDescent="0.25">
      <c r="A68" s="18" t="s">
        <v>56</v>
      </c>
      <c r="B68" s="22">
        <f t="shared" si="1"/>
        <v>3.2634088314120423E-2</v>
      </c>
      <c r="C68" s="4">
        <f t="shared" si="2"/>
        <v>1.4967137372291271E-3</v>
      </c>
      <c r="D68" s="4">
        <f t="shared" si="2"/>
        <v>0</v>
      </c>
      <c r="E68" s="4">
        <f t="shared" si="2"/>
        <v>3.7086317696684878E-3</v>
      </c>
      <c r="F68" s="4">
        <f t="shared" si="2"/>
        <v>6.8821432960550566E-3</v>
      </c>
      <c r="G68" s="4">
        <f t="shared" si="2"/>
        <v>9.0144796550490503E-3</v>
      </c>
      <c r="H68" s="4">
        <f t="shared" si="2"/>
        <v>3.31983545442859E-2</v>
      </c>
      <c r="I68" s="4">
        <f t="shared" si="2"/>
        <v>9.6404900582446277E-3</v>
      </c>
      <c r="J68" s="4">
        <f t="shared" si="2"/>
        <v>7.9446828803051983E-2</v>
      </c>
      <c r="K68" s="4">
        <f t="shared" si="2"/>
        <v>5.8823529411764705E-3</v>
      </c>
      <c r="L68" s="4">
        <f t="shared" si="2"/>
        <v>0.10022071077879374</v>
      </c>
      <c r="M68" s="4">
        <f t="shared" si="2"/>
        <v>5.0571371291098635E-2</v>
      </c>
      <c r="N68" s="4">
        <f t="shared" si="2"/>
        <v>0.4385593220338983</v>
      </c>
      <c r="O68" s="4">
        <f t="shared" si="2"/>
        <v>3.5052251803931331E-2</v>
      </c>
      <c r="P68" s="4">
        <f t="shared" si="2"/>
        <v>6.8201193520886615E-3</v>
      </c>
      <c r="Q68" s="4">
        <f t="shared" si="2"/>
        <v>2.5449871465295631E-2</v>
      </c>
      <c r="R68" s="4">
        <f t="shared" si="2"/>
        <v>9.928021841648052E-3</v>
      </c>
      <c r="S68" s="4">
        <f t="shared" si="2"/>
        <v>2.5496876774559907E-2</v>
      </c>
      <c r="T68" s="4">
        <f t="shared" si="2"/>
        <v>4.4247787610619468E-2</v>
      </c>
      <c r="U68" s="4">
        <f t="shared" si="2"/>
        <v>9.7093879737511716E-3</v>
      </c>
      <c r="V68" s="4">
        <f t="shared" si="2"/>
        <v>9.2077087794432549E-3</v>
      </c>
      <c r="W68" s="4">
        <f t="shared" si="2"/>
        <v>4.3258168430740915E-2</v>
      </c>
      <c r="X68" s="4">
        <f t="shared" si="2"/>
        <v>3.7066916686653729E-3</v>
      </c>
      <c r="Y68" s="4">
        <f t="shared" si="2"/>
        <v>6.7208064967796133E-3</v>
      </c>
      <c r="Z68" s="4">
        <f t="shared" si="2"/>
        <v>1.2554335392358727E-2</v>
      </c>
      <c r="AA68" s="4">
        <f t="shared" si="2"/>
        <v>9.9581322323661105E-3</v>
      </c>
      <c r="AB68" s="4">
        <f t="shared" si="2"/>
        <v>3.4560402157406919E-3</v>
      </c>
      <c r="AC68" s="4">
        <f t="shared" si="2"/>
        <v>3.3970810266733772E-3</v>
      </c>
      <c r="AD68" s="4">
        <f t="shared" si="2"/>
        <v>6.616325062927004E-3</v>
      </c>
      <c r="AE68" s="4">
        <f t="shared" si="2"/>
        <v>3.0625564815744554E-3</v>
      </c>
      <c r="AF68" s="4">
        <f t="shared" si="2"/>
        <v>3.114382785956965E-3</v>
      </c>
      <c r="AG68" s="4">
        <f t="shared" si="2"/>
        <v>4.6215492022911083E-3</v>
      </c>
      <c r="AH68" s="4">
        <f t="shared" si="2"/>
        <v>4.1505303923219397E-2</v>
      </c>
      <c r="AI68" s="4">
        <f t="shared" si="2"/>
        <v>2.3880809808953522E-3</v>
      </c>
      <c r="AJ68" s="4">
        <f t="shared" si="2"/>
        <v>1.8289560318969931E-3</v>
      </c>
      <c r="AK68" s="4">
        <f t="shared" si="2"/>
        <v>8.3545678599774426E-4</v>
      </c>
      <c r="AL68" s="4">
        <f t="shared" si="2"/>
        <v>1.33625081427784E-3</v>
      </c>
      <c r="AM68" s="4">
        <f t="shared" si="2"/>
        <v>3.7448347107438018E-3</v>
      </c>
      <c r="AN68" s="4">
        <f t="shared" si="2"/>
        <v>4.4689058236899049E-3</v>
      </c>
      <c r="AO68" s="4">
        <f t="shared" si="2"/>
        <v>3.0701123195109748E-3</v>
      </c>
      <c r="AP68" s="4">
        <f t="shared" si="2"/>
        <v>3.7375204395649034E-3</v>
      </c>
      <c r="AQ68" s="4">
        <f t="shared" si="2"/>
        <v>9.2797812622988172E-3</v>
      </c>
      <c r="AR68" s="4">
        <f t="shared" si="2"/>
        <v>1.2966905360944454E-2</v>
      </c>
      <c r="AS68" s="4">
        <f t="shared" si="2"/>
        <v>2.3904914529914528E-2</v>
      </c>
      <c r="AT68" s="12">
        <f t="shared" si="2"/>
        <v>0</v>
      </c>
    </row>
    <row r="69" spans="1:46" x14ac:dyDescent="0.25">
      <c r="A69" s="18" t="s">
        <v>57</v>
      </c>
      <c r="B69" s="22">
        <f t="shared" si="1"/>
        <v>4.9445588354727907E-3</v>
      </c>
      <c r="C69" s="4">
        <f t="shared" si="2"/>
        <v>3.9044706188585927E-4</v>
      </c>
      <c r="D69" s="4">
        <f t="shared" si="2"/>
        <v>0</v>
      </c>
      <c r="E69" s="4">
        <f t="shared" si="2"/>
        <v>4.2465249271013216E-4</v>
      </c>
      <c r="F69" s="4">
        <f t="shared" si="2"/>
        <v>4.9158166400393262E-4</v>
      </c>
      <c r="G69" s="4">
        <f t="shared" si="2"/>
        <v>2.7161121467171295E-3</v>
      </c>
      <c r="H69" s="4">
        <f t="shared" si="2"/>
        <v>2.9888160431932129E-3</v>
      </c>
      <c r="I69" s="4">
        <f t="shared" si="2"/>
        <v>1.8075918859208678E-3</v>
      </c>
      <c r="J69" s="4">
        <f t="shared" si="2"/>
        <v>7.2484501669051026E-3</v>
      </c>
      <c r="K69" s="4">
        <f t="shared" si="2"/>
        <v>0</v>
      </c>
      <c r="L69" s="4">
        <f t="shared" si="2"/>
        <v>1.0239778988934432E-2</v>
      </c>
      <c r="M69" s="4">
        <f t="shared" si="2"/>
        <v>0.14585004009623095</v>
      </c>
      <c r="N69" s="4">
        <f t="shared" si="2"/>
        <v>2.7118644067796613E-2</v>
      </c>
      <c r="O69" s="4">
        <f t="shared" si="2"/>
        <v>3.3901468026872358E-3</v>
      </c>
      <c r="P69" s="4">
        <f t="shared" si="2"/>
        <v>7.5221904618624942E-4</v>
      </c>
      <c r="Q69" s="4">
        <f t="shared" si="2"/>
        <v>3.084832904884319E-3</v>
      </c>
      <c r="R69" s="4">
        <f t="shared" si="2"/>
        <v>1.9856043683296105E-3</v>
      </c>
      <c r="S69" s="4">
        <f t="shared" si="2"/>
        <v>2.7541169789892105E-3</v>
      </c>
      <c r="T69" s="4">
        <f t="shared" si="2"/>
        <v>6.1266167460857727E-3</v>
      </c>
      <c r="U69" s="4">
        <f t="shared" si="2"/>
        <v>1.2499441989196911E-3</v>
      </c>
      <c r="V69" s="4">
        <f t="shared" si="2"/>
        <v>8.565310492505354E-4</v>
      </c>
      <c r="W69" s="4">
        <f t="shared" si="2"/>
        <v>3.4514496088357111E-3</v>
      </c>
      <c r="X69" s="4">
        <f t="shared" si="2"/>
        <v>5.6690578461940995E-4</v>
      </c>
      <c r="Y69" s="4">
        <f t="shared" si="2"/>
        <v>8.4010081209745166E-4</v>
      </c>
      <c r="Z69" s="4">
        <f t="shared" si="2"/>
        <v>1.2225463280713797E-3</v>
      </c>
      <c r="AA69" s="4">
        <f t="shared" si="2"/>
        <v>2.2896435424783392E-3</v>
      </c>
      <c r="AB69" s="4">
        <f t="shared" si="2"/>
        <v>8.6401005393517297E-4</v>
      </c>
      <c r="AC69" s="4">
        <f t="shared" si="2"/>
        <v>1.1323603422244591E-3</v>
      </c>
      <c r="AD69" s="4">
        <f t="shared" si="2"/>
        <v>1.9417475728155341E-3</v>
      </c>
      <c r="AE69" s="4">
        <f t="shared" si="2"/>
        <v>1.0543227231649764E-3</v>
      </c>
      <c r="AF69" s="4">
        <f t="shared" si="2"/>
        <v>9.9093997734994331E-4</v>
      </c>
      <c r="AG69" s="4">
        <f t="shared" si="2"/>
        <v>1.0570564664814769E-3</v>
      </c>
      <c r="AH69" s="4">
        <f t="shared" si="2"/>
        <v>5.7248695066509517E-3</v>
      </c>
      <c r="AI69" s="4">
        <f t="shared" si="2"/>
        <v>8.5543199315654401E-4</v>
      </c>
      <c r="AJ69" s="4">
        <f t="shared" si="2"/>
        <v>7.3158241275879724E-4</v>
      </c>
      <c r="AK69" s="4">
        <f t="shared" si="2"/>
        <v>3.6203127393235587E-4</v>
      </c>
      <c r="AL69" s="4">
        <f t="shared" si="2"/>
        <v>2.17140757320149E-4</v>
      </c>
      <c r="AM69" s="4">
        <f t="shared" si="2"/>
        <v>1.6270661157024792E-3</v>
      </c>
      <c r="AN69" s="4">
        <f t="shared" si="2"/>
        <v>9.4082227867155882E-4</v>
      </c>
      <c r="AO69" s="4">
        <f t="shared" si="2"/>
        <v>2.2477608053562493E-3</v>
      </c>
      <c r="AP69" s="4">
        <f t="shared" si="2"/>
        <v>2.9148596906389329E-3</v>
      </c>
      <c r="AQ69" s="4">
        <f t="shared" si="2"/>
        <v>1.5804627462352672E-2</v>
      </c>
      <c r="AR69" s="4">
        <f t="shared" ref="AR69:AT69" si="3">AR13/AR$51</f>
        <v>5.4190052254693239E-3</v>
      </c>
      <c r="AS69" s="4">
        <f t="shared" si="3"/>
        <v>5.074786324786325E-3</v>
      </c>
      <c r="AT69" s="12">
        <f t="shared" si="3"/>
        <v>0</v>
      </c>
    </row>
    <row r="70" spans="1:46" x14ac:dyDescent="0.25">
      <c r="A70" s="18" t="s">
        <v>58</v>
      </c>
      <c r="B70" s="22">
        <f t="shared" si="1"/>
        <v>2.030374401039552E-3</v>
      </c>
      <c r="C70" s="4">
        <f t="shared" si="1"/>
        <v>3.253725515715494E-3</v>
      </c>
      <c r="D70" s="4">
        <f t="shared" si="1"/>
        <v>0</v>
      </c>
      <c r="E70" s="4">
        <f t="shared" si="1"/>
        <v>8.1533278600345385E-3</v>
      </c>
      <c r="F70" s="4">
        <f t="shared" si="1"/>
        <v>1.1060587440088485E-3</v>
      </c>
      <c r="G70" s="4">
        <f t="shared" si="1"/>
        <v>1.014893897456175E-2</v>
      </c>
      <c r="H70" s="4">
        <f t="shared" si="1"/>
        <v>2.222329348245276E-2</v>
      </c>
      <c r="I70" s="4">
        <f t="shared" si="1"/>
        <v>2.4101225145611569E-3</v>
      </c>
      <c r="J70" s="4">
        <f t="shared" si="1"/>
        <v>6.1039580352885078E-3</v>
      </c>
      <c r="K70" s="4">
        <f t="shared" si="1"/>
        <v>5.8823529411764705E-3</v>
      </c>
      <c r="L70" s="4">
        <f t="shared" si="1"/>
        <v>5.5102623004969747E-3</v>
      </c>
      <c r="M70" s="4">
        <f t="shared" si="1"/>
        <v>7.4178027265437048E-3</v>
      </c>
      <c r="N70" s="4">
        <f t="shared" si="1"/>
        <v>4.2372881355932202E-2</v>
      </c>
      <c r="O70" s="4">
        <f t="shared" si="1"/>
        <v>2.2704652898731027E-3</v>
      </c>
      <c r="P70" s="4">
        <f t="shared" si="1"/>
        <v>1.4041422195476656E-3</v>
      </c>
      <c r="Q70" s="4">
        <f t="shared" si="1"/>
        <v>4.1988003427592116E-3</v>
      </c>
      <c r="R70" s="4">
        <f t="shared" ref="C70:AT76" si="4">R14/R$51</f>
        <v>1.116902457185406E-3</v>
      </c>
      <c r="S70" s="4">
        <f t="shared" si="4"/>
        <v>2.8023850085178877E-2</v>
      </c>
      <c r="T70" s="4">
        <f t="shared" si="4"/>
        <v>6.5350578624914904E-2</v>
      </c>
      <c r="U70" s="4">
        <f t="shared" si="4"/>
        <v>2.4195348421945453E-2</v>
      </c>
      <c r="V70" s="4">
        <f t="shared" si="4"/>
        <v>6.4239828693790147E-4</v>
      </c>
      <c r="W70" s="4">
        <f t="shared" si="4"/>
        <v>1.3882497315539194E-2</v>
      </c>
      <c r="X70" s="4">
        <f t="shared" si="4"/>
        <v>3.0525696094891306E-4</v>
      </c>
      <c r="Y70" s="4">
        <f t="shared" si="4"/>
        <v>5.6006720806496785E-4</v>
      </c>
      <c r="Z70" s="4">
        <f t="shared" si="4"/>
        <v>7.3924731182795703E-3</v>
      </c>
      <c r="AA70" s="4">
        <f t="shared" si="4"/>
        <v>2.0664941559574344E-2</v>
      </c>
      <c r="AB70" s="4">
        <f t="shared" si="4"/>
        <v>5.2887888149971193E-3</v>
      </c>
      <c r="AC70" s="4">
        <f t="shared" si="4"/>
        <v>1.5098137896326119E-3</v>
      </c>
      <c r="AD70" s="4">
        <f t="shared" si="4"/>
        <v>2.8047464940668823E-3</v>
      </c>
      <c r="AE70" s="4">
        <f t="shared" si="4"/>
        <v>2.6609097298925595E-3</v>
      </c>
      <c r="AF70" s="4">
        <f t="shared" si="4"/>
        <v>2.8312570781426955E-4</v>
      </c>
      <c r="AG70" s="4">
        <f t="shared" si="4"/>
        <v>9.0956021534452673E-4</v>
      </c>
      <c r="AH70" s="4">
        <f t="shared" si="4"/>
        <v>3.115002525677724E-3</v>
      </c>
      <c r="AI70" s="4">
        <f t="shared" si="4"/>
        <v>1.7821499857428001E-4</v>
      </c>
      <c r="AJ70" s="4">
        <f t="shared" si="4"/>
        <v>1.4631648255175944E-4</v>
      </c>
      <c r="AK70" s="4">
        <f t="shared" si="4"/>
        <v>4.1772839299887212E-5</v>
      </c>
      <c r="AL70" s="4">
        <f t="shared" si="4"/>
        <v>1.1692194624931099E-4</v>
      </c>
      <c r="AM70" s="4">
        <f t="shared" si="4"/>
        <v>3.0991735537190079E-4</v>
      </c>
      <c r="AN70" s="4">
        <f t="shared" si="4"/>
        <v>4.2337002540220151E-4</v>
      </c>
      <c r="AO70" s="4">
        <f t="shared" si="4"/>
        <v>2.1655256539407771E-3</v>
      </c>
      <c r="AP70" s="4">
        <f t="shared" si="4"/>
        <v>1.6250088867673495E-4</v>
      </c>
      <c r="AQ70" s="4">
        <f t="shared" si="4"/>
        <v>2.8999316444683804E-4</v>
      </c>
      <c r="AR70" s="4">
        <f t="shared" si="4"/>
        <v>1.354751306367331E-3</v>
      </c>
      <c r="AS70" s="4">
        <f t="shared" si="4"/>
        <v>1.6025641025641025E-3</v>
      </c>
      <c r="AT70" s="12">
        <f t="shared" si="4"/>
        <v>0</v>
      </c>
    </row>
    <row r="71" spans="1:46" x14ac:dyDescent="0.25">
      <c r="A71" s="18" t="s">
        <v>59</v>
      </c>
      <c r="B71" s="22">
        <f t="shared" si="1"/>
        <v>2.3886757659288845E-4</v>
      </c>
      <c r="C71" s="4">
        <f t="shared" si="4"/>
        <v>2.6029804125723955E-4</v>
      </c>
      <c r="D71" s="4">
        <f t="shared" si="4"/>
        <v>0</v>
      </c>
      <c r="E71" s="4">
        <f t="shared" si="4"/>
        <v>1.0191659825043173E-3</v>
      </c>
      <c r="F71" s="4">
        <f t="shared" si="4"/>
        <v>1.9663266560157305E-3</v>
      </c>
      <c r="G71" s="4">
        <f t="shared" si="4"/>
        <v>1.868798132143328E-3</v>
      </c>
      <c r="H71" s="4">
        <f t="shared" si="4"/>
        <v>2.008612932253503E-3</v>
      </c>
      <c r="I71" s="4">
        <f t="shared" si="4"/>
        <v>3.012653143201446E-3</v>
      </c>
      <c r="J71" s="4">
        <f t="shared" si="4"/>
        <v>3.5288507391511687E-3</v>
      </c>
      <c r="K71" s="4">
        <f t="shared" si="4"/>
        <v>0</v>
      </c>
      <c r="L71" s="4">
        <f t="shared" si="4"/>
        <v>4.4742729306487695E-3</v>
      </c>
      <c r="M71" s="4">
        <f t="shared" si="4"/>
        <v>2.6563753007217321E-3</v>
      </c>
      <c r="N71" s="4">
        <f t="shared" si="4"/>
        <v>4.6610169491525426E-3</v>
      </c>
      <c r="O71" s="4">
        <f t="shared" si="4"/>
        <v>8.7055237621298825E-2</v>
      </c>
      <c r="P71" s="4">
        <f t="shared" si="4"/>
        <v>1.3038463467228325E-3</v>
      </c>
      <c r="Q71" s="4">
        <f t="shared" si="4"/>
        <v>2.2622107969151671E-2</v>
      </c>
      <c r="R71" s="4">
        <f t="shared" si="4"/>
        <v>2.482005460412013E-3</v>
      </c>
      <c r="S71" s="4">
        <f t="shared" si="4"/>
        <v>2.441794434980125E-3</v>
      </c>
      <c r="T71" s="4">
        <f t="shared" si="4"/>
        <v>2.0422055820285907E-3</v>
      </c>
      <c r="U71" s="4">
        <f t="shared" si="4"/>
        <v>1.7856345698852732E-2</v>
      </c>
      <c r="V71" s="4">
        <f t="shared" si="4"/>
        <v>1.9271948608137045E-3</v>
      </c>
      <c r="W71" s="4">
        <f t="shared" si="4"/>
        <v>2.5310630464795212E-3</v>
      </c>
      <c r="X71" s="4">
        <f t="shared" si="4"/>
        <v>2.1804068639208075E-4</v>
      </c>
      <c r="Y71" s="4">
        <f t="shared" si="4"/>
        <v>2.8003360403248392E-4</v>
      </c>
      <c r="Z71" s="4">
        <f t="shared" si="4"/>
        <v>0.18724262182566917</v>
      </c>
      <c r="AA71" s="4">
        <f t="shared" si="4"/>
        <v>2.3332558004303078E-3</v>
      </c>
      <c r="AB71" s="4">
        <f t="shared" si="4"/>
        <v>7.592815625490914E-4</v>
      </c>
      <c r="AC71" s="4">
        <f t="shared" si="4"/>
        <v>7.5490689481630597E-4</v>
      </c>
      <c r="AD71" s="4">
        <f t="shared" si="4"/>
        <v>1.3664149586479683E-3</v>
      </c>
      <c r="AE71" s="4">
        <f t="shared" si="4"/>
        <v>7.5308765940355459E-4</v>
      </c>
      <c r="AF71" s="4">
        <f t="shared" si="4"/>
        <v>4.2468856172140431E-4</v>
      </c>
      <c r="AG71" s="4">
        <f t="shared" si="4"/>
        <v>7.8664667273040144E-4</v>
      </c>
      <c r="AH71" s="4">
        <f t="shared" si="4"/>
        <v>1.8521636639164845E-3</v>
      </c>
      <c r="AI71" s="4">
        <f t="shared" si="4"/>
        <v>3.9207299686341607E-4</v>
      </c>
      <c r="AJ71" s="4">
        <f t="shared" si="4"/>
        <v>2.1947472382763915E-4</v>
      </c>
      <c r="AK71" s="4">
        <f t="shared" si="4"/>
        <v>1.2531851789966166E-4</v>
      </c>
      <c r="AL71" s="4">
        <f t="shared" si="4"/>
        <v>1.3362508142778401E-4</v>
      </c>
      <c r="AM71" s="4">
        <f t="shared" si="4"/>
        <v>2.5826446280991736E-4</v>
      </c>
      <c r="AN71" s="4">
        <f t="shared" si="4"/>
        <v>2.8224668360146764E-4</v>
      </c>
      <c r="AO71" s="4">
        <f t="shared" si="4"/>
        <v>7.9493979701623463E-4</v>
      </c>
      <c r="AP71" s="4">
        <f t="shared" si="4"/>
        <v>1.7265719421903088E-4</v>
      </c>
      <c r="AQ71" s="4">
        <f t="shared" si="4"/>
        <v>2.692793669863496E-4</v>
      </c>
      <c r="AR71" s="4">
        <f t="shared" si="4"/>
        <v>7.7414360363847496E-4</v>
      </c>
      <c r="AS71" s="4">
        <f t="shared" si="4"/>
        <v>8.0128205128205125E-4</v>
      </c>
      <c r="AT71" s="12">
        <f t="shared" si="4"/>
        <v>0</v>
      </c>
    </row>
    <row r="72" spans="1:46" x14ac:dyDescent="0.25">
      <c r="A72" s="18" t="s">
        <v>60</v>
      </c>
      <c r="B72" s="22">
        <f t="shared" si="1"/>
        <v>2.1020346740174186E-4</v>
      </c>
      <c r="C72" s="4">
        <f t="shared" si="4"/>
        <v>7.1581961345740881E-4</v>
      </c>
      <c r="D72" s="4">
        <f t="shared" si="4"/>
        <v>0</v>
      </c>
      <c r="E72" s="4">
        <f t="shared" si="4"/>
        <v>5.945134897941851E-4</v>
      </c>
      <c r="F72" s="4">
        <f t="shared" si="4"/>
        <v>3.1952808160255622E-3</v>
      </c>
      <c r="G72" s="4">
        <f t="shared" si="4"/>
        <v>3.1068180534372708E-4</v>
      </c>
      <c r="H72" s="4">
        <f t="shared" si="4"/>
        <v>1.3497878904743541E-3</v>
      </c>
      <c r="I72" s="4">
        <f t="shared" si="4"/>
        <v>2.8118096003213497E-3</v>
      </c>
      <c r="J72" s="4">
        <f t="shared" si="4"/>
        <v>3.4334763948497857E-3</v>
      </c>
      <c r="K72" s="4">
        <f t="shared" si="4"/>
        <v>0</v>
      </c>
      <c r="L72" s="4">
        <f t="shared" si="4"/>
        <v>7.5071693467261232E-4</v>
      </c>
      <c r="M72" s="4">
        <f t="shared" si="4"/>
        <v>4.5108259823576583E-4</v>
      </c>
      <c r="N72" s="4">
        <f t="shared" si="4"/>
        <v>1.1016949152542373E-2</v>
      </c>
      <c r="O72" s="4">
        <f t="shared" si="4"/>
        <v>6.5967902463299324E-2</v>
      </c>
      <c r="P72" s="4">
        <f t="shared" si="4"/>
        <v>0.36923925580462363</v>
      </c>
      <c r="Q72" s="4">
        <f t="shared" si="4"/>
        <v>0.23727506426735218</v>
      </c>
      <c r="R72" s="4">
        <f t="shared" si="4"/>
        <v>1.4643832216430877E-2</v>
      </c>
      <c r="S72" s="4">
        <f t="shared" si="4"/>
        <v>9.923339011925042E-2</v>
      </c>
      <c r="T72" s="4">
        <f t="shared" si="4"/>
        <v>0.11232130701157249</v>
      </c>
      <c r="U72" s="4">
        <f t="shared" si="4"/>
        <v>1.0535243962323112E-2</v>
      </c>
      <c r="V72" s="4">
        <f t="shared" si="4"/>
        <v>4.411134903640257E-2</v>
      </c>
      <c r="W72" s="4">
        <f t="shared" si="4"/>
        <v>3.2673722963644736E-2</v>
      </c>
      <c r="X72" s="4">
        <f t="shared" si="4"/>
        <v>3.4886509822732923E-4</v>
      </c>
      <c r="Y72" s="4">
        <f t="shared" si="4"/>
        <v>7.0008401008120975E-4</v>
      </c>
      <c r="Z72" s="4">
        <f t="shared" si="4"/>
        <v>4.2281514527568058E-2</v>
      </c>
      <c r="AA72" s="4">
        <f t="shared" si="4"/>
        <v>1.7081467697854277E-3</v>
      </c>
      <c r="AB72" s="4">
        <f t="shared" si="4"/>
        <v>4.1891396554432633E-4</v>
      </c>
      <c r="AC72" s="4">
        <f t="shared" si="4"/>
        <v>3.7745344740815299E-4</v>
      </c>
      <c r="AD72" s="4">
        <f t="shared" si="4"/>
        <v>7.9108234448040278E-4</v>
      </c>
      <c r="AE72" s="4">
        <f t="shared" si="4"/>
        <v>2.0082337584094789E-4</v>
      </c>
      <c r="AF72" s="4">
        <f t="shared" si="4"/>
        <v>1.4156285390713478E-4</v>
      </c>
      <c r="AG72" s="4">
        <f t="shared" si="4"/>
        <v>9.8330834091300181E-5</v>
      </c>
      <c r="AH72" s="4">
        <f t="shared" si="4"/>
        <v>1.9363529213672335E-3</v>
      </c>
      <c r="AI72" s="4">
        <f t="shared" si="4"/>
        <v>1.4257199885942402E-4</v>
      </c>
      <c r="AJ72" s="4">
        <f t="shared" si="4"/>
        <v>2.1947472382763915E-4</v>
      </c>
      <c r="AK72" s="4">
        <f t="shared" si="4"/>
        <v>4.1772839299887212E-5</v>
      </c>
      <c r="AL72" s="4">
        <f t="shared" si="4"/>
        <v>1.1692194624931099E-4</v>
      </c>
      <c r="AM72" s="4">
        <f t="shared" si="4"/>
        <v>4.907024793388429E-4</v>
      </c>
      <c r="AN72" s="4">
        <f t="shared" si="4"/>
        <v>3.2928779753504559E-4</v>
      </c>
      <c r="AO72" s="4">
        <f t="shared" si="4"/>
        <v>1.164997978385861E-4</v>
      </c>
      <c r="AP72" s="4">
        <f t="shared" si="4"/>
        <v>1.8281349976132682E-4</v>
      </c>
      <c r="AQ72" s="4">
        <f t="shared" si="4"/>
        <v>2.2785177206537276E-4</v>
      </c>
      <c r="AR72" s="4">
        <f t="shared" si="4"/>
        <v>5.8060770272885614E-4</v>
      </c>
      <c r="AS72" s="4">
        <f t="shared" si="4"/>
        <v>9.3482905982905987E-4</v>
      </c>
      <c r="AT72" s="12">
        <f t="shared" si="4"/>
        <v>0</v>
      </c>
    </row>
    <row r="73" spans="1:46" x14ac:dyDescent="0.25">
      <c r="A73" s="18" t="s">
        <v>61</v>
      </c>
      <c r="B73" s="22">
        <f t="shared" si="1"/>
        <v>1.672073036150219E-4</v>
      </c>
      <c r="C73" s="4">
        <f t="shared" si="4"/>
        <v>3.2537255157154944E-4</v>
      </c>
      <c r="D73" s="4">
        <f t="shared" si="4"/>
        <v>0</v>
      </c>
      <c r="E73" s="4">
        <f t="shared" si="4"/>
        <v>3.4821504402230839E-3</v>
      </c>
      <c r="F73" s="4">
        <f t="shared" si="4"/>
        <v>6.636352464053091E-3</v>
      </c>
      <c r="G73" s="4">
        <f t="shared" si="4"/>
        <v>8.3695795439567688E-3</v>
      </c>
      <c r="H73" s="4">
        <f t="shared" si="4"/>
        <v>1.3626430132407764E-2</v>
      </c>
      <c r="I73" s="4">
        <f t="shared" si="4"/>
        <v>2.2092789716810605E-2</v>
      </c>
      <c r="J73" s="4">
        <f t="shared" si="4"/>
        <v>5.3409632808774435E-3</v>
      </c>
      <c r="K73" s="4">
        <f t="shared" si="4"/>
        <v>5.8823529411764705E-3</v>
      </c>
      <c r="L73" s="4">
        <f t="shared" si="4"/>
        <v>4.7595453658243617E-3</v>
      </c>
      <c r="M73" s="4">
        <f t="shared" si="4"/>
        <v>4.3103448275862068E-3</v>
      </c>
      <c r="N73" s="4">
        <f t="shared" si="4"/>
        <v>5.4025423728813558E-3</v>
      </c>
      <c r="O73" s="4">
        <f t="shared" si="4"/>
        <v>1.9065687982085095E-2</v>
      </c>
      <c r="P73" s="4">
        <f t="shared" si="4"/>
        <v>2.8935359309964399E-2</v>
      </c>
      <c r="Q73" s="4">
        <f t="shared" si="4"/>
        <v>0.11332476435304199</v>
      </c>
      <c r="R73" s="4">
        <f t="shared" si="4"/>
        <v>1.1044924298833459E-2</v>
      </c>
      <c r="S73" s="4">
        <f t="shared" si="4"/>
        <v>1.2350936967632026E-2</v>
      </c>
      <c r="T73" s="4">
        <f t="shared" si="4"/>
        <v>6.3308373042886321E-2</v>
      </c>
      <c r="U73" s="4">
        <f t="shared" si="4"/>
        <v>1.5401098165260481E-2</v>
      </c>
      <c r="V73" s="4">
        <f t="shared" si="4"/>
        <v>3.6616702355460391E-2</v>
      </c>
      <c r="W73" s="4">
        <f t="shared" si="4"/>
        <v>2.8685381193434577E-2</v>
      </c>
      <c r="X73" s="4">
        <f t="shared" si="4"/>
        <v>1.6135010793013977E-3</v>
      </c>
      <c r="Y73" s="4">
        <f t="shared" si="4"/>
        <v>1.8202184262111453E-3</v>
      </c>
      <c r="Z73" s="4">
        <f t="shared" si="4"/>
        <v>3.2386753603294439E-2</v>
      </c>
      <c r="AA73" s="4">
        <f t="shared" si="4"/>
        <v>3.9832528929464438E-3</v>
      </c>
      <c r="AB73" s="4">
        <f t="shared" si="4"/>
        <v>1.0211027910142954E-3</v>
      </c>
      <c r="AC73" s="4">
        <f t="shared" si="4"/>
        <v>1.0065425264217415E-3</v>
      </c>
      <c r="AD73" s="4">
        <f t="shared" si="4"/>
        <v>1.1506652283351313E-3</v>
      </c>
      <c r="AE73" s="4">
        <f t="shared" si="4"/>
        <v>1.3053519429661613E-3</v>
      </c>
      <c r="AF73" s="4">
        <f t="shared" si="4"/>
        <v>4.2468856172140431E-4</v>
      </c>
      <c r="AG73" s="4">
        <f t="shared" si="4"/>
        <v>2.3599400181912042E-3</v>
      </c>
      <c r="AH73" s="4">
        <f t="shared" si="4"/>
        <v>6.6509513386091941E-3</v>
      </c>
      <c r="AI73" s="4">
        <f t="shared" si="4"/>
        <v>6.0593099515255202E-4</v>
      </c>
      <c r="AJ73" s="4">
        <f t="shared" si="4"/>
        <v>6.584241714829175E-4</v>
      </c>
      <c r="AK73" s="4">
        <f t="shared" si="4"/>
        <v>1.1139423813303258E-4</v>
      </c>
      <c r="AL73" s="4">
        <f t="shared" si="4"/>
        <v>3.1735956839098697E-4</v>
      </c>
      <c r="AM73" s="4">
        <f t="shared" si="4"/>
        <v>8.006198347107438E-4</v>
      </c>
      <c r="AN73" s="4">
        <f t="shared" si="4"/>
        <v>1.2230689622730266E-3</v>
      </c>
      <c r="AO73" s="4">
        <f t="shared" si="4"/>
        <v>4.3173454493123086E-4</v>
      </c>
      <c r="AP73" s="4">
        <f t="shared" si="4"/>
        <v>2.437513330151024E-4</v>
      </c>
      <c r="AQ73" s="4">
        <f t="shared" si="4"/>
        <v>3.3142075936781491E-4</v>
      </c>
      <c r="AR73" s="4">
        <f t="shared" si="4"/>
        <v>3.6771821172827553E-3</v>
      </c>
      <c r="AS73" s="4">
        <f t="shared" si="4"/>
        <v>3.4722222222222225E-3</v>
      </c>
      <c r="AT73" s="12">
        <f t="shared" si="4"/>
        <v>0</v>
      </c>
    </row>
    <row r="74" spans="1:46" x14ac:dyDescent="0.25">
      <c r="A74" s="18" t="s">
        <v>62</v>
      </c>
      <c r="B74" s="22">
        <f t="shared" si="1"/>
        <v>1.5765260055130637E-4</v>
      </c>
      <c r="C74" s="4">
        <f t="shared" si="4"/>
        <v>1.9522353094292963E-4</v>
      </c>
      <c r="D74" s="4">
        <f t="shared" si="4"/>
        <v>0</v>
      </c>
      <c r="E74" s="4">
        <f t="shared" si="4"/>
        <v>1.415508309033774E-4</v>
      </c>
      <c r="F74" s="4">
        <f t="shared" si="4"/>
        <v>8.6026791200688208E-4</v>
      </c>
      <c r="G74" s="4">
        <f t="shared" si="4"/>
        <v>2.7302340469600257E-4</v>
      </c>
      <c r="H74" s="4">
        <f t="shared" si="4"/>
        <v>5.1420491065689677E-4</v>
      </c>
      <c r="I74" s="4">
        <f t="shared" si="4"/>
        <v>4.0168708576019286E-4</v>
      </c>
      <c r="J74" s="4">
        <f t="shared" si="4"/>
        <v>6.6762041010968044E-4</v>
      </c>
      <c r="K74" s="4">
        <f t="shared" si="4"/>
        <v>0</v>
      </c>
      <c r="L74" s="4">
        <f t="shared" si="4"/>
        <v>6.4561656381844658E-4</v>
      </c>
      <c r="M74" s="4">
        <f t="shared" si="4"/>
        <v>8.5204490777866879E-4</v>
      </c>
      <c r="N74" s="4">
        <f t="shared" si="4"/>
        <v>2.2245762711864407E-3</v>
      </c>
      <c r="O74" s="4">
        <f t="shared" si="4"/>
        <v>5.909430206519035E-4</v>
      </c>
      <c r="P74" s="4">
        <f t="shared" si="4"/>
        <v>3.5103555488691639E-4</v>
      </c>
      <c r="Q74" s="4">
        <f t="shared" si="4"/>
        <v>2.0137103684661527E-3</v>
      </c>
      <c r="R74" s="4">
        <f t="shared" si="4"/>
        <v>0.23368081409779104</v>
      </c>
      <c r="S74" s="4">
        <f t="shared" si="4"/>
        <v>5.2243043725156155E-3</v>
      </c>
      <c r="T74" s="4">
        <f t="shared" si="4"/>
        <v>7.4880871341048332E-3</v>
      </c>
      <c r="U74" s="4">
        <f t="shared" si="4"/>
        <v>2.2320432123565915E-3</v>
      </c>
      <c r="V74" s="4">
        <f t="shared" si="4"/>
        <v>1.006423982869379E-2</v>
      </c>
      <c r="W74" s="4">
        <f t="shared" si="4"/>
        <v>3.8349440098174566E-3</v>
      </c>
      <c r="X74" s="4">
        <f t="shared" si="4"/>
        <v>2.0059743148071428E-3</v>
      </c>
      <c r="Y74" s="4">
        <f t="shared" si="4"/>
        <v>2.2402688322598714E-3</v>
      </c>
      <c r="Z74" s="4">
        <f t="shared" si="4"/>
        <v>1.079558453443148E-3</v>
      </c>
      <c r="AA74" s="4">
        <f t="shared" si="4"/>
        <v>9.5220096528464263E-4</v>
      </c>
      <c r="AB74" s="4">
        <f t="shared" si="4"/>
        <v>5.4982457977692837E-4</v>
      </c>
      <c r="AC74" s="4">
        <f t="shared" si="4"/>
        <v>5.0327126321087076E-4</v>
      </c>
      <c r="AD74" s="4">
        <f t="shared" si="4"/>
        <v>1.1506652283351313E-3</v>
      </c>
      <c r="AE74" s="4">
        <f t="shared" si="4"/>
        <v>6.0247012752284365E-4</v>
      </c>
      <c r="AF74" s="4">
        <f t="shared" si="4"/>
        <v>7.0781426953567383E-3</v>
      </c>
      <c r="AG74" s="4">
        <f t="shared" si="4"/>
        <v>1.4749625113695026E-4</v>
      </c>
      <c r="AH74" s="4">
        <f t="shared" si="4"/>
        <v>6.4825728237076956E-3</v>
      </c>
      <c r="AI74" s="4">
        <f t="shared" si="4"/>
        <v>2.6767892785856857E-2</v>
      </c>
      <c r="AJ74" s="4">
        <f t="shared" si="4"/>
        <v>2.4142219621040308E-3</v>
      </c>
      <c r="AK74" s="4">
        <f t="shared" si="4"/>
        <v>6.9621398833145359E-5</v>
      </c>
      <c r="AL74" s="4">
        <f t="shared" si="4"/>
        <v>1.00218811070838E-4</v>
      </c>
      <c r="AM74" s="4">
        <f t="shared" si="4"/>
        <v>9.0392561983471077E-4</v>
      </c>
      <c r="AN74" s="4">
        <f t="shared" si="4"/>
        <v>8.4674005080440302E-4</v>
      </c>
      <c r="AO74" s="4">
        <f t="shared" si="4"/>
        <v>2.9673183802416342E-3</v>
      </c>
      <c r="AP74" s="4">
        <f t="shared" si="4"/>
        <v>3.7172078284803118E-3</v>
      </c>
      <c r="AQ74" s="4">
        <f t="shared" si="4"/>
        <v>7.8505292375251161E-3</v>
      </c>
      <c r="AR74" s="4">
        <f t="shared" si="4"/>
        <v>1.5482872072769499E-3</v>
      </c>
      <c r="AS74" s="4">
        <f t="shared" si="4"/>
        <v>2.2702991452991455E-3</v>
      </c>
      <c r="AT74" s="12">
        <f t="shared" si="4"/>
        <v>0</v>
      </c>
    </row>
    <row r="75" spans="1:46" x14ac:dyDescent="0.25">
      <c r="A75" s="18" t="s">
        <v>63</v>
      </c>
      <c r="B75" s="22">
        <f t="shared" ref="B75:Q90" si="5">B19/B$51</f>
        <v>1.2421113982830201E-4</v>
      </c>
      <c r="C75" s="4">
        <f t="shared" si="4"/>
        <v>1.9522353094292963E-4</v>
      </c>
      <c r="D75" s="4">
        <f t="shared" si="4"/>
        <v>0</v>
      </c>
      <c r="E75" s="4">
        <f t="shared" si="4"/>
        <v>4.2465249271013216E-4</v>
      </c>
      <c r="F75" s="4">
        <f t="shared" si="4"/>
        <v>1.2289541600098315E-3</v>
      </c>
      <c r="G75" s="4">
        <f t="shared" si="4"/>
        <v>3.2951100566758933E-4</v>
      </c>
      <c r="H75" s="4">
        <f t="shared" si="4"/>
        <v>8.3558297981745728E-4</v>
      </c>
      <c r="I75" s="4">
        <f t="shared" si="4"/>
        <v>6.0253062864028923E-4</v>
      </c>
      <c r="J75" s="4">
        <f t="shared" si="4"/>
        <v>7.6299475441106348E-4</v>
      </c>
      <c r="K75" s="4">
        <f t="shared" si="4"/>
        <v>5.8823529411764705E-3</v>
      </c>
      <c r="L75" s="4">
        <f t="shared" si="4"/>
        <v>8.5731873939612329E-3</v>
      </c>
      <c r="M75" s="4">
        <f t="shared" si="4"/>
        <v>6.2650360866078588E-3</v>
      </c>
      <c r="N75" s="4">
        <f t="shared" si="4"/>
        <v>4.7669491525423732E-3</v>
      </c>
      <c r="O75" s="4">
        <f t="shared" si="4"/>
        <v>2.0216471759144069E-3</v>
      </c>
      <c r="P75" s="4">
        <f t="shared" si="4"/>
        <v>2.8082844390953311E-3</v>
      </c>
      <c r="Q75" s="4">
        <f t="shared" si="4"/>
        <v>6.8123393316195371E-3</v>
      </c>
      <c r="R75" s="4">
        <f t="shared" si="4"/>
        <v>0.20749565649044427</v>
      </c>
      <c r="S75" s="4">
        <f t="shared" si="4"/>
        <v>0.195144804088586</v>
      </c>
      <c r="T75" s="4">
        <f t="shared" si="4"/>
        <v>1.1912865895166779E-2</v>
      </c>
      <c r="U75" s="4">
        <f t="shared" si="4"/>
        <v>3.9150037944734616E-2</v>
      </c>
      <c r="V75" s="4">
        <f t="shared" si="4"/>
        <v>7.2805139186295498E-3</v>
      </c>
      <c r="W75" s="4">
        <f t="shared" si="4"/>
        <v>7.516490259242216E-3</v>
      </c>
      <c r="X75" s="4">
        <f t="shared" si="4"/>
        <v>9.1577088284673924E-3</v>
      </c>
      <c r="Y75" s="4">
        <f t="shared" si="4"/>
        <v>6.1607392887146461E-3</v>
      </c>
      <c r="Z75" s="4">
        <f t="shared" si="4"/>
        <v>1.3040494166094714E-2</v>
      </c>
      <c r="AA75" s="4">
        <f t="shared" si="4"/>
        <v>6.9125428853869858E-3</v>
      </c>
      <c r="AB75" s="4">
        <f t="shared" si="4"/>
        <v>2.1731161962611932E-3</v>
      </c>
      <c r="AC75" s="4">
        <f t="shared" si="4"/>
        <v>1.2581781580271766E-3</v>
      </c>
      <c r="AD75" s="4">
        <f t="shared" si="4"/>
        <v>1.7259978425026969E-3</v>
      </c>
      <c r="AE75" s="4">
        <f t="shared" si="4"/>
        <v>2.1588512902901897E-3</v>
      </c>
      <c r="AF75" s="4">
        <f t="shared" si="4"/>
        <v>2.1234428086070217E-3</v>
      </c>
      <c r="AG75" s="4">
        <f t="shared" si="4"/>
        <v>1.4749625113695026E-4</v>
      </c>
      <c r="AH75" s="4">
        <f t="shared" si="4"/>
        <v>3.283381040579222E-3</v>
      </c>
      <c r="AI75" s="4">
        <f t="shared" si="4"/>
        <v>6.5226689478186488E-3</v>
      </c>
      <c r="AJ75" s="4">
        <f t="shared" si="4"/>
        <v>1.0242153778623161E-3</v>
      </c>
      <c r="AK75" s="4">
        <f t="shared" si="4"/>
        <v>5.5697119066516289E-5</v>
      </c>
      <c r="AL75" s="4">
        <f t="shared" si="4"/>
        <v>2.3384389249862198E-4</v>
      </c>
      <c r="AM75" s="4">
        <f t="shared" si="4"/>
        <v>8.2644628099173563E-4</v>
      </c>
      <c r="AN75" s="4">
        <f t="shared" si="4"/>
        <v>9.8786339260513683E-4</v>
      </c>
      <c r="AO75" s="4">
        <f t="shared" si="4"/>
        <v>1.5076444426169968E-4</v>
      </c>
      <c r="AP75" s="4">
        <f t="shared" si="4"/>
        <v>2.5390763855739836E-4</v>
      </c>
      <c r="AQ75" s="4">
        <f t="shared" si="4"/>
        <v>3.9356215174928021E-4</v>
      </c>
      <c r="AR75" s="4">
        <f t="shared" si="4"/>
        <v>1.1612154054577123E-3</v>
      </c>
      <c r="AS75" s="4">
        <f t="shared" si="4"/>
        <v>1.4690170940170942E-3</v>
      </c>
      <c r="AT75" s="12">
        <f t="shared" si="4"/>
        <v>0</v>
      </c>
    </row>
    <row r="76" spans="1:46" x14ac:dyDescent="0.25">
      <c r="A76" s="18" t="s">
        <v>64</v>
      </c>
      <c r="B76" s="22">
        <f t="shared" si="5"/>
        <v>1.9252726673386809E-3</v>
      </c>
      <c r="C76" s="4">
        <f t="shared" si="4"/>
        <v>5.8567059282878893E-4</v>
      </c>
      <c r="D76" s="4">
        <f t="shared" si="4"/>
        <v>0</v>
      </c>
      <c r="E76" s="4">
        <f t="shared" si="4"/>
        <v>8.1816380262152138E-3</v>
      </c>
      <c r="F76" s="4">
        <f t="shared" si="4"/>
        <v>1.0446110360083569E-2</v>
      </c>
      <c r="G76" s="4">
        <f t="shared" si="4"/>
        <v>1.1956542205652527E-3</v>
      </c>
      <c r="H76" s="4">
        <f t="shared" si="4"/>
        <v>6.572181514333462E-3</v>
      </c>
      <c r="I76" s="4">
        <f t="shared" ref="C76:AT81" si="6">I20/I$51</f>
        <v>3.2134966860815429E-3</v>
      </c>
      <c r="J76" s="4">
        <f t="shared" si="6"/>
        <v>8.5836909871244641E-4</v>
      </c>
      <c r="K76" s="4">
        <f t="shared" si="6"/>
        <v>5.8823529411764705E-3</v>
      </c>
      <c r="L76" s="4">
        <f t="shared" si="6"/>
        <v>2.1170217557767669E-3</v>
      </c>
      <c r="M76" s="4">
        <f t="shared" si="6"/>
        <v>2.5060144346431435E-3</v>
      </c>
      <c r="N76" s="4">
        <f t="shared" si="6"/>
        <v>1.6949152542372883E-3</v>
      </c>
      <c r="O76" s="4">
        <f t="shared" si="6"/>
        <v>7.1224185120676783E-3</v>
      </c>
      <c r="P76" s="4">
        <f t="shared" si="6"/>
        <v>6.8702672885010783E-3</v>
      </c>
      <c r="Q76" s="4">
        <f t="shared" si="6"/>
        <v>4.8414738646101116E-3</v>
      </c>
      <c r="R76" s="4">
        <f t="shared" si="6"/>
        <v>9.4316207495656491E-3</v>
      </c>
      <c r="S76" s="4">
        <f t="shared" si="6"/>
        <v>5.2526973310618964E-3</v>
      </c>
      <c r="T76" s="4">
        <f t="shared" si="6"/>
        <v>0.11844792375765825</v>
      </c>
      <c r="U76" s="4">
        <f t="shared" si="6"/>
        <v>1.4329717423329317E-2</v>
      </c>
      <c r="V76" s="4">
        <f t="shared" si="6"/>
        <v>2.1627408993576017E-2</v>
      </c>
      <c r="W76" s="4">
        <f t="shared" si="6"/>
        <v>1.6413560362018714E-2</v>
      </c>
      <c r="X76" s="4">
        <f t="shared" si="6"/>
        <v>9.9426552994788826E-3</v>
      </c>
      <c r="Y76" s="4">
        <f t="shared" si="6"/>
        <v>1.2041444973396806E-2</v>
      </c>
      <c r="Z76" s="4">
        <f t="shared" si="6"/>
        <v>5.8625028597574921E-3</v>
      </c>
      <c r="AA76" s="4">
        <f t="shared" si="6"/>
        <v>6.0257603070302959E-3</v>
      </c>
      <c r="AB76" s="4">
        <f t="shared" si="6"/>
        <v>1.0996491595538567E-3</v>
      </c>
      <c r="AC76" s="4">
        <f t="shared" si="6"/>
        <v>1.2581781580271766E-3</v>
      </c>
      <c r="AD76" s="4">
        <f t="shared" si="6"/>
        <v>2.0136641495864796E-3</v>
      </c>
      <c r="AE76" s="4">
        <f t="shared" si="6"/>
        <v>1.2049402550456873E-3</v>
      </c>
      <c r="AF76" s="4">
        <f t="shared" si="6"/>
        <v>5.6625141562853911E-4</v>
      </c>
      <c r="AG76" s="4">
        <f t="shared" si="6"/>
        <v>2.7040979375107549E-4</v>
      </c>
      <c r="AH76" s="4">
        <f t="shared" si="6"/>
        <v>1.4480552281528877E-2</v>
      </c>
      <c r="AI76" s="4">
        <f t="shared" si="6"/>
        <v>6.0593099515255202E-4</v>
      </c>
      <c r="AJ76" s="4">
        <f t="shared" si="6"/>
        <v>2.1215889970005119E-3</v>
      </c>
      <c r="AK76" s="4">
        <f t="shared" si="6"/>
        <v>5.5697119066516289E-5</v>
      </c>
      <c r="AL76" s="4">
        <f t="shared" si="6"/>
        <v>7.5164108303128502E-4</v>
      </c>
      <c r="AM76" s="4">
        <f t="shared" si="6"/>
        <v>2.608471074380165E-3</v>
      </c>
      <c r="AN76" s="4">
        <f t="shared" si="6"/>
        <v>6.0683036974315549E-3</v>
      </c>
      <c r="AO76" s="4">
        <f t="shared" si="6"/>
        <v>3.6320525208500377E-4</v>
      </c>
      <c r="AP76" s="4">
        <f t="shared" si="6"/>
        <v>1.9601669696631152E-3</v>
      </c>
      <c r="AQ76" s="4">
        <f t="shared" si="6"/>
        <v>2.6720798724030079E-3</v>
      </c>
      <c r="AR76" s="4">
        <f t="shared" si="6"/>
        <v>8.3220437391136048E-3</v>
      </c>
      <c r="AS76" s="4">
        <f t="shared" si="6"/>
        <v>9.8824786324786338E-3</v>
      </c>
      <c r="AT76" s="12">
        <f t="shared" si="6"/>
        <v>0</v>
      </c>
    </row>
    <row r="77" spans="1:46" x14ac:dyDescent="0.25">
      <c r="A77" s="18" t="s">
        <v>65</v>
      </c>
      <c r="B77" s="22">
        <f t="shared" si="5"/>
        <v>2.4364492812474619E-4</v>
      </c>
      <c r="C77" s="4">
        <f t="shared" si="6"/>
        <v>6.5074510314309887E-4</v>
      </c>
      <c r="D77" s="4">
        <f t="shared" si="6"/>
        <v>0</v>
      </c>
      <c r="E77" s="4">
        <f t="shared" si="6"/>
        <v>4.8127282507148312E-4</v>
      </c>
      <c r="F77" s="4">
        <f t="shared" si="6"/>
        <v>1.7205358240137642E-3</v>
      </c>
      <c r="G77" s="4">
        <f t="shared" si="6"/>
        <v>7.0138771206386874E-4</v>
      </c>
      <c r="H77" s="4">
        <f t="shared" si="6"/>
        <v>1.4301324077644942E-3</v>
      </c>
      <c r="I77" s="4">
        <f t="shared" si="6"/>
        <v>1.0042177144004821E-3</v>
      </c>
      <c r="J77" s="4">
        <f t="shared" si="6"/>
        <v>7.6299475441106348E-4</v>
      </c>
      <c r="K77" s="4">
        <f t="shared" si="6"/>
        <v>0</v>
      </c>
      <c r="L77" s="4">
        <f t="shared" si="6"/>
        <v>7.2068825728570786E-4</v>
      </c>
      <c r="M77" s="4">
        <f t="shared" si="6"/>
        <v>8.0192461908580592E-4</v>
      </c>
      <c r="N77" s="4">
        <f t="shared" si="6"/>
        <v>1.3771186440677966E-3</v>
      </c>
      <c r="O77" s="4">
        <f t="shared" si="6"/>
        <v>1.430704155262503E-3</v>
      </c>
      <c r="P77" s="4">
        <f t="shared" si="6"/>
        <v>1.8053257108469989E-3</v>
      </c>
      <c r="Q77" s="4">
        <f t="shared" si="6"/>
        <v>1.0625535561268209E-2</v>
      </c>
      <c r="R77" s="4">
        <f t="shared" si="6"/>
        <v>4.8399106478034257E-3</v>
      </c>
      <c r="S77" s="4">
        <f t="shared" si="6"/>
        <v>3.8614423622941509E-3</v>
      </c>
      <c r="T77" s="4">
        <f t="shared" si="6"/>
        <v>8.5091899251191275E-3</v>
      </c>
      <c r="U77" s="4">
        <f t="shared" si="6"/>
        <v>0.35424757823311459</v>
      </c>
      <c r="V77" s="4">
        <f t="shared" si="6"/>
        <v>6.4239828693790149E-3</v>
      </c>
      <c r="W77" s="4">
        <f t="shared" si="6"/>
        <v>1.1428133149256021E-2</v>
      </c>
      <c r="X77" s="4">
        <f t="shared" si="6"/>
        <v>8.2855460828990684E-4</v>
      </c>
      <c r="Y77" s="4">
        <f t="shared" si="6"/>
        <v>9.8011761411369346E-4</v>
      </c>
      <c r="Z77" s="4">
        <f t="shared" si="6"/>
        <v>1.0509608785175017E-3</v>
      </c>
      <c r="AA77" s="4">
        <f t="shared" si="6"/>
        <v>1.2967378031051928E-2</v>
      </c>
      <c r="AB77" s="4">
        <f t="shared" si="6"/>
        <v>1.9348588783578573E-2</v>
      </c>
      <c r="AC77" s="4">
        <f t="shared" si="6"/>
        <v>3.0196275792652239E-3</v>
      </c>
      <c r="AD77" s="4">
        <f t="shared" si="6"/>
        <v>9.780654440848616E-3</v>
      </c>
      <c r="AE77" s="4">
        <f t="shared" si="6"/>
        <v>7.6814941259162571E-3</v>
      </c>
      <c r="AF77" s="4">
        <f t="shared" si="6"/>
        <v>3.0577576443941112E-2</v>
      </c>
      <c r="AG77" s="4">
        <f t="shared" si="6"/>
        <v>3.9332333636520072E-4</v>
      </c>
      <c r="AH77" s="4">
        <f t="shared" si="6"/>
        <v>1.6837851490149858E-3</v>
      </c>
      <c r="AI77" s="4">
        <f t="shared" si="6"/>
        <v>9.8374679213002574E-3</v>
      </c>
      <c r="AJ77" s="4">
        <f t="shared" si="6"/>
        <v>6.584241714829175E-4</v>
      </c>
      <c r="AK77" s="4">
        <f t="shared" si="6"/>
        <v>4.3165267276550122E-4</v>
      </c>
      <c r="AL77" s="4">
        <f t="shared" si="6"/>
        <v>2.5054702767709499E-4</v>
      </c>
      <c r="AM77" s="4">
        <f t="shared" si="6"/>
        <v>1.0330578512396695E-3</v>
      </c>
      <c r="AN77" s="4">
        <f t="shared" si="6"/>
        <v>2.5872612663467871E-3</v>
      </c>
      <c r="AO77" s="4">
        <f t="shared" si="6"/>
        <v>2.261466663925495E-3</v>
      </c>
      <c r="AP77" s="4">
        <f t="shared" si="6"/>
        <v>6.9062877687612353E-4</v>
      </c>
      <c r="AQ77" s="4">
        <f t="shared" si="6"/>
        <v>1.0771174679453984E-3</v>
      </c>
      <c r="AR77" s="4">
        <f t="shared" si="6"/>
        <v>7.7414360363847496E-4</v>
      </c>
      <c r="AS77" s="4">
        <f t="shared" si="6"/>
        <v>8.0128205128205125E-4</v>
      </c>
      <c r="AT77" s="12">
        <f t="shared" si="6"/>
        <v>0</v>
      </c>
    </row>
    <row r="78" spans="1:46" x14ac:dyDescent="0.25">
      <c r="A78" s="18" t="s">
        <v>66</v>
      </c>
      <c r="B78" s="22">
        <f t="shared" si="5"/>
        <v>2.8664109191146612E-5</v>
      </c>
      <c r="C78" s="4">
        <f t="shared" si="6"/>
        <v>1.9522353094292965E-3</v>
      </c>
      <c r="D78" s="4">
        <f t="shared" si="6"/>
        <v>0</v>
      </c>
      <c r="E78" s="4">
        <f t="shared" si="6"/>
        <v>5.6620332361350962E-5</v>
      </c>
      <c r="F78" s="4">
        <f t="shared" si="6"/>
        <v>1.2289541600098315E-4</v>
      </c>
      <c r="G78" s="4">
        <f t="shared" si="6"/>
        <v>2.1182850364345027E-4</v>
      </c>
      <c r="H78" s="4">
        <f t="shared" si="6"/>
        <v>1.6068903458028025E-4</v>
      </c>
      <c r="I78" s="4">
        <f t="shared" si="6"/>
        <v>4.0168708576019286E-4</v>
      </c>
      <c r="J78" s="4">
        <f t="shared" si="6"/>
        <v>9.5374344301382935E-5</v>
      </c>
      <c r="K78" s="4">
        <f t="shared" si="6"/>
        <v>0</v>
      </c>
      <c r="L78" s="4">
        <f t="shared" si="6"/>
        <v>9.0086032160713482E-5</v>
      </c>
      <c r="M78" s="4">
        <f t="shared" si="6"/>
        <v>1.0024057738572574E-4</v>
      </c>
      <c r="N78" s="4">
        <f t="shared" si="6"/>
        <v>1.0593220338983052E-4</v>
      </c>
      <c r="O78" s="4">
        <f t="shared" si="6"/>
        <v>1.5551132122418513E-4</v>
      </c>
      <c r="P78" s="4">
        <f t="shared" si="6"/>
        <v>2.0059174564966654E-4</v>
      </c>
      <c r="Q78" s="4">
        <f t="shared" si="6"/>
        <v>5.1413881748071976E-4</v>
      </c>
      <c r="R78" s="4">
        <f t="shared" si="6"/>
        <v>8.6870191114420451E-4</v>
      </c>
      <c r="S78" s="4">
        <f t="shared" si="6"/>
        <v>7.9500283929585455E-4</v>
      </c>
      <c r="T78" s="4">
        <f t="shared" si="6"/>
        <v>6.8073519400953036E-4</v>
      </c>
      <c r="U78" s="4">
        <f t="shared" si="6"/>
        <v>4.2408821034775233E-4</v>
      </c>
      <c r="V78" s="4">
        <f t="shared" si="6"/>
        <v>0.1259100642398287</v>
      </c>
      <c r="W78" s="4">
        <f t="shared" si="6"/>
        <v>5.4456204939407884E-3</v>
      </c>
      <c r="X78" s="4">
        <f t="shared" si="6"/>
        <v>1.0902034319604038E-4</v>
      </c>
      <c r="Y78" s="4">
        <f t="shared" si="6"/>
        <v>1.4001680201624196E-4</v>
      </c>
      <c r="Z78" s="4">
        <f t="shared" si="6"/>
        <v>2.2878059940517045E-4</v>
      </c>
      <c r="AA78" s="4">
        <f t="shared" si="6"/>
        <v>1.6863406408094434E-3</v>
      </c>
      <c r="AB78" s="4">
        <f t="shared" si="6"/>
        <v>1.7280201078703459E-3</v>
      </c>
      <c r="AC78" s="4">
        <f t="shared" si="6"/>
        <v>3.0196275792652239E-3</v>
      </c>
      <c r="AD78" s="4">
        <f t="shared" si="6"/>
        <v>1.1075152822725639E-2</v>
      </c>
      <c r="AE78" s="4">
        <f t="shared" si="6"/>
        <v>7.0288181544331761E-4</v>
      </c>
      <c r="AF78" s="4">
        <f t="shared" si="6"/>
        <v>0</v>
      </c>
      <c r="AG78" s="4">
        <f t="shared" si="6"/>
        <v>4.916541704565009E-5</v>
      </c>
      <c r="AH78" s="4">
        <f t="shared" si="6"/>
        <v>1.6837851490149859E-4</v>
      </c>
      <c r="AI78" s="4">
        <f t="shared" si="6"/>
        <v>7.128599942971201E-5</v>
      </c>
      <c r="AJ78" s="4">
        <f t="shared" si="6"/>
        <v>0</v>
      </c>
      <c r="AK78" s="4">
        <f t="shared" si="6"/>
        <v>1.3924279766629072E-5</v>
      </c>
      <c r="AL78" s="4">
        <f t="shared" si="6"/>
        <v>1.6703135178473002E-5</v>
      </c>
      <c r="AM78" s="4">
        <f t="shared" si="6"/>
        <v>5.1652892561983477E-5</v>
      </c>
      <c r="AN78" s="4">
        <f t="shared" si="6"/>
        <v>9.4082227867155888E-5</v>
      </c>
      <c r="AO78" s="4">
        <f t="shared" si="6"/>
        <v>5.0917264584746753E-3</v>
      </c>
      <c r="AP78" s="4">
        <f t="shared" si="6"/>
        <v>6.0937833253775599E-5</v>
      </c>
      <c r="AQ78" s="4">
        <f t="shared" si="6"/>
        <v>8.2855189841953727E-5</v>
      </c>
      <c r="AR78" s="4">
        <f t="shared" si="6"/>
        <v>0</v>
      </c>
      <c r="AS78" s="4">
        <f t="shared" si="6"/>
        <v>1.3354700854700856E-4</v>
      </c>
      <c r="AT78" s="12">
        <f t="shared" si="6"/>
        <v>0</v>
      </c>
    </row>
    <row r="79" spans="1:46" x14ac:dyDescent="0.25">
      <c r="A79" s="18" t="s">
        <v>67</v>
      </c>
      <c r="B79" s="22">
        <f t="shared" si="5"/>
        <v>1.7915068244466633E-3</v>
      </c>
      <c r="C79" s="4">
        <f t="shared" si="6"/>
        <v>4.3599921910587626E-3</v>
      </c>
      <c r="D79" s="4">
        <f t="shared" si="6"/>
        <v>0</v>
      </c>
      <c r="E79" s="4">
        <f t="shared" si="6"/>
        <v>2.2081929620926875E-3</v>
      </c>
      <c r="F79" s="4">
        <f t="shared" si="6"/>
        <v>3.072385400024579E-3</v>
      </c>
      <c r="G79" s="4">
        <f t="shared" si="6"/>
        <v>1.383946223803875E-3</v>
      </c>
      <c r="H79" s="4">
        <f t="shared" si="6"/>
        <v>5.2545314307751645E-3</v>
      </c>
      <c r="I79" s="4">
        <f t="shared" si="6"/>
        <v>1.3255673830086363E-2</v>
      </c>
      <c r="J79" s="4">
        <f t="shared" si="6"/>
        <v>3.3381020505484026E-3</v>
      </c>
      <c r="K79" s="4">
        <f t="shared" si="6"/>
        <v>0</v>
      </c>
      <c r="L79" s="4">
        <f t="shared" si="6"/>
        <v>2.0569644010029575E-3</v>
      </c>
      <c r="M79" s="4">
        <f t="shared" si="6"/>
        <v>1.8544506816359262E-3</v>
      </c>
      <c r="N79" s="4">
        <f t="shared" si="6"/>
        <v>2.7542372881355932E-3</v>
      </c>
      <c r="O79" s="4">
        <f t="shared" si="6"/>
        <v>3.2968400099527245E-3</v>
      </c>
      <c r="P79" s="4">
        <f t="shared" si="6"/>
        <v>3.0088761847449977E-3</v>
      </c>
      <c r="Q79" s="4">
        <f t="shared" si="6"/>
        <v>3.941730934018851E-3</v>
      </c>
      <c r="R79" s="4">
        <f t="shared" si="6"/>
        <v>3.971208736659221E-3</v>
      </c>
      <c r="S79" s="4">
        <f t="shared" si="6"/>
        <v>4.0318001135718337E-3</v>
      </c>
      <c r="T79" s="4">
        <f t="shared" si="6"/>
        <v>6.4669843430905372E-3</v>
      </c>
      <c r="U79" s="4">
        <f t="shared" si="6"/>
        <v>1.785634569885273E-3</v>
      </c>
      <c r="V79" s="4">
        <f t="shared" si="6"/>
        <v>6.6381156316916486E-3</v>
      </c>
      <c r="W79" s="4">
        <f t="shared" si="6"/>
        <v>1.5799969320447922E-2</v>
      </c>
      <c r="X79" s="4">
        <f t="shared" si="6"/>
        <v>2.0931905893639751E-3</v>
      </c>
      <c r="Y79" s="4">
        <f t="shared" si="6"/>
        <v>2.2402688322598714E-3</v>
      </c>
      <c r="Z79" s="4">
        <f t="shared" si="6"/>
        <v>2.6667238618165176E-3</v>
      </c>
      <c r="AA79" s="4">
        <f t="shared" si="6"/>
        <v>1.6281909635401522E-3</v>
      </c>
      <c r="AB79" s="4">
        <f t="shared" si="6"/>
        <v>3.0109441273498453E-3</v>
      </c>
      <c r="AC79" s="4">
        <f t="shared" si="6"/>
        <v>2.8938097634625061E-3</v>
      </c>
      <c r="AD79" s="4">
        <f t="shared" si="6"/>
        <v>7.982740021574973E-3</v>
      </c>
      <c r="AE79" s="4">
        <f t="shared" si="6"/>
        <v>2.1588512902901897E-3</v>
      </c>
      <c r="AF79" s="4">
        <f t="shared" si="6"/>
        <v>4.6715741789354476E-3</v>
      </c>
      <c r="AG79" s="4">
        <f t="shared" si="6"/>
        <v>2.2370264755770791E-3</v>
      </c>
      <c r="AH79" s="4">
        <f t="shared" si="6"/>
        <v>5.7248695066509517E-3</v>
      </c>
      <c r="AI79" s="4">
        <f t="shared" si="6"/>
        <v>3.9207299686341603E-3</v>
      </c>
      <c r="AJ79" s="4">
        <f t="shared" si="6"/>
        <v>1.0242153778623161E-3</v>
      </c>
      <c r="AK79" s="4">
        <f t="shared" si="6"/>
        <v>3.202584346324686E-4</v>
      </c>
      <c r="AL79" s="4">
        <f t="shared" si="6"/>
        <v>3.1735956839098697E-4</v>
      </c>
      <c r="AM79" s="4">
        <f t="shared" si="6"/>
        <v>1.4721074380165289E-3</v>
      </c>
      <c r="AN79" s="4">
        <f t="shared" si="6"/>
        <v>5.0333991908928398E-3</v>
      </c>
      <c r="AO79" s="4">
        <f t="shared" si="6"/>
        <v>8.4291030200859369E-4</v>
      </c>
      <c r="AP79" s="4">
        <f t="shared" si="6"/>
        <v>1.0867246930256649E-3</v>
      </c>
      <c r="AQ79" s="4">
        <f t="shared" si="6"/>
        <v>1.2014002527083291E-3</v>
      </c>
      <c r="AR79" s="4">
        <f t="shared" si="6"/>
        <v>5.6125411263789424E-3</v>
      </c>
      <c r="AS79" s="4">
        <f t="shared" si="6"/>
        <v>2.9380341880341884E-3</v>
      </c>
      <c r="AT79" s="12">
        <f t="shared" si="6"/>
        <v>0</v>
      </c>
    </row>
    <row r="80" spans="1:46" x14ac:dyDescent="0.25">
      <c r="A80" s="18" t="s">
        <v>68</v>
      </c>
      <c r="B80" s="22">
        <f t="shared" si="5"/>
        <v>1.1675847143860388E-2</v>
      </c>
      <c r="C80" s="4">
        <f t="shared" si="6"/>
        <v>2.9283529641439448E-3</v>
      </c>
      <c r="D80" s="4">
        <f t="shared" si="6"/>
        <v>3.6231884057971015E-3</v>
      </c>
      <c r="E80" s="4">
        <f t="shared" si="6"/>
        <v>1.3815361096169633E-2</v>
      </c>
      <c r="F80" s="4">
        <f t="shared" si="6"/>
        <v>1.0200319528081602E-2</v>
      </c>
      <c r="G80" s="4">
        <f t="shared" si="6"/>
        <v>8.1907021408800778E-3</v>
      </c>
      <c r="H80" s="4">
        <f t="shared" si="6"/>
        <v>1.2967605090628616E-2</v>
      </c>
      <c r="I80" s="4">
        <f t="shared" si="6"/>
        <v>1.0042177144004821E-2</v>
      </c>
      <c r="J80" s="4">
        <f t="shared" si="6"/>
        <v>1.1063423938960419E-2</v>
      </c>
      <c r="K80" s="4">
        <f t="shared" si="6"/>
        <v>1.1764705882352941E-2</v>
      </c>
      <c r="L80" s="4">
        <f t="shared" si="6"/>
        <v>1.5209525096467126E-2</v>
      </c>
      <c r="M80" s="4">
        <f t="shared" si="6"/>
        <v>9.5729751403368091E-3</v>
      </c>
      <c r="N80" s="4">
        <f t="shared" si="6"/>
        <v>3.8453389830508472E-2</v>
      </c>
      <c r="O80" s="4">
        <f t="shared" si="6"/>
        <v>5.1878576760388165E-2</v>
      </c>
      <c r="P80" s="4">
        <f t="shared" si="6"/>
        <v>2.0159470437791486E-2</v>
      </c>
      <c r="Q80" s="4">
        <f t="shared" si="6"/>
        <v>9.5544130248500433E-3</v>
      </c>
      <c r="R80" s="4">
        <f t="shared" si="6"/>
        <v>1.9607843137254905E-2</v>
      </c>
      <c r="S80" s="4">
        <f t="shared" si="6"/>
        <v>9.9659284497444645E-3</v>
      </c>
      <c r="T80" s="4">
        <f t="shared" si="6"/>
        <v>9.1899251191286599E-3</v>
      </c>
      <c r="U80" s="4">
        <f t="shared" si="6"/>
        <v>1.7633141377617071E-2</v>
      </c>
      <c r="V80" s="4">
        <f t="shared" si="6"/>
        <v>4.2826552462526769E-3</v>
      </c>
      <c r="W80" s="4">
        <f t="shared" si="6"/>
        <v>9.8174566651326907E-3</v>
      </c>
      <c r="X80" s="4">
        <f t="shared" si="6"/>
        <v>2.3744630748097597E-2</v>
      </c>
      <c r="Y80" s="4">
        <f t="shared" si="6"/>
        <v>9.2411089330719683E-3</v>
      </c>
      <c r="Z80" s="4">
        <f t="shared" si="6"/>
        <v>5.9768931594600767E-3</v>
      </c>
      <c r="AA80" s="4">
        <f t="shared" si="6"/>
        <v>1.3796010932139327E-2</v>
      </c>
      <c r="AB80" s="4">
        <f t="shared" si="6"/>
        <v>1.1493951929622452E-2</v>
      </c>
      <c r="AC80" s="4">
        <f t="shared" si="6"/>
        <v>3.9003522898842478E-3</v>
      </c>
      <c r="AD80" s="4">
        <f t="shared" si="6"/>
        <v>8.917655519597268E-3</v>
      </c>
      <c r="AE80" s="4">
        <f t="shared" si="6"/>
        <v>1.6367105131037254E-2</v>
      </c>
      <c r="AF80" s="4">
        <f t="shared" si="6"/>
        <v>1.4722536806342017E-2</v>
      </c>
      <c r="AG80" s="4">
        <f t="shared" si="6"/>
        <v>2.197694141940559E-2</v>
      </c>
      <c r="AH80" s="4">
        <f t="shared" si="6"/>
        <v>3.6033002188920693E-2</v>
      </c>
      <c r="AI80" s="4">
        <f t="shared" si="6"/>
        <v>3.3254918733960651E-2</v>
      </c>
      <c r="AJ80" s="4">
        <f t="shared" si="6"/>
        <v>1.6094813080693539E-3</v>
      </c>
      <c r="AK80" s="4">
        <f t="shared" si="6"/>
        <v>5.7089547043179195E-3</v>
      </c>
      <c r="AL80" s="4">
        <f t="shared" si="6"/>
        <v>1.3028445439208941E-3</v>
      </c>
      <c r="AM80" s="4">
        <f t="shared" si="6"/>
        <v>1.4462809917355371E-3</v>
      </c>
      <c r="AN80" s="4">
        <f t="shared" si="6"/>
        <v>1.59939787374165E-3</v>
      </c>
      <c r="AO80" s="4">
        <f t="shared" si="6"/>
        <v>2.1285198358038146E-2</v>
      </c>
      <c r="AP80" s="4">
        <f t="shared" si="6"/>
        <v>1.3843044454149359E-2</v>
      </c>
      <c r="AQ80" s="4">
        <f t="shared" si="6"/>
        <v>1.8290283157611286E-2</v>
      </c>
      <c r="AR80" s="4">
        <f t="shared" si="6"/>
        <v>2.5159667118250434E-2</v>
      </c>
      <c r="AS80" s="4">
        <f t="shared" si="6"/>
        <v>1.5758547008547012E-2</v>
      </c>
      <c r="AT80" s="12">
        <f t="shared" si="6"/>
        <v>0</v>
      </c>
    </row>
    <row r="81" spans="1:46" x14ac:dyDescent="0.25">
      <c r="A81" s="18" t="s">
        <v>69</v>
      </c>
      <c r="B81" s="22">
        <f t="shared" si="5"/>
        <v>2.0877026194218453E-3</v>
      </c>
      <c r="C81" s="4">
        <f t="shared" si="6"/>
        <v>7.1581961345740881E-4</v>
      </c>
      <c r="D81" s="4">
        <f t="shared" si="6"/>
        <v>0</v>
      </c>
      <c r="E81" s="4">
        <f t="shared" si="6"/>
        <v>2.4346742915380909E-3</v>
      </c>
      <c r="F81" s="4">
        <f t="shared" si="6"/>
        <v>2.4579083200196631E-4</v>
      </c>
      <c r="G81" s="4">
        <f t="shared" si="6"/>
        <v>1.4592630250993242E-3</v>
      </c>
      <c r="H81" s="4">
        <f t="shared" si="6"/>
        <v>2.0568196426275871E-3</v>
      </c>
      <c r="I81" s="4">
        <f t="shared" si="6"/>
        <v>1.4059048001606748E-3</v>
      </c>
      <c r="J81" s="4">
        <f t="shared" si="6"/>
        <v>1.4306151645207439E-3</v>
      </c>
      <c r="K81" s="4">
        <f t="shared" si="6"/>
        <v>0</v>
      </c>
      <c r="L81" s="4">
        <f t="shared" si="6"/>
        <v>2.4923802231130729E-3</v>
      </c>
      <c r="M81" s="4">
        <f t="shared" si="6"/>
        <v>2.2554129911788292E-3</v>
      </c>
      <c r="N81" s="4">
        <f t="shared" si="6"/>
        <v>4.9788135593220343E-3</v>
      </c>
      <c r="O81" s="4">
        <f t="shared" si="6"/>
        <v>6.7802936053744716E-3</v>
      </c>
      <c r="P81" s="4">
        <f t="shared" si="6"/>
        <v>3.9115390401684973E-3</v>
      </c>
      <c r="Q81" s="4">
        <f t="shared" si="6"/>
        <v>1.7137960582690661E-3</v>
      </c>
      <c r="R81" s="4">
        <f t="shared" si="6"/>
        <v>2.7302060064532145E-3</v>
      </c>
      <c r="S81" s="4">
        <f t="shared" si="6"/>
        <v>1.3344690516751846E-3</v>
      </c>
      <c r="T81" s="4">
        <f t="shared" si="6"/>
        <v>1.7018379850238256E-3</v>
      </c>
      <c r="U81" s="4">
        <f t="shared" si="6"/>
        <v>2.343645372974421E-3</v>
      </c>
      <c r="V81" s="4">
        <f t="shared" si="6"/>
        <v>8.565310492505354E-4</v>
      </c>
      <c r="W81" s="4">
        <f t="shared" si="6"/>
        <v>6.9028992176714229E-4</v>
      </c>
      <c r="X81" s="4">
        <f t="shared" si="6"/>
        <v>3.0961777467675465E-3</v>
      </c>
      <c r="Y81" s="4">
        <f t="shared" si="6"/>
        <v>8.8210585270232424E-3</v>
      </c>
      <c r="Z81" s="4">
        <f t="shared" si="6"/>
        <v>1.3941317776252572E-3</v>
      </c>
      <c r="AA81" s="4">
        <f t="shared" si="6"/>
        <v>2.4568238646275509E-3</v>
      </c>
      <c r="AB81" s="4">
        <f t="shared" si="6"/>
        <v>1.6494737393307848E-3</v>
      </c>
      <c r="AC81" s="4">
        <f t="shared" si="6"/>
        <v>2.013085052843483E-3</v>
      </c>
      <c r="AD81" s="4">
        <f t="shared" si="6"/>
        <v>1.7259978425026969E-3</v>
      </c>
      <c r="AE81" s="4">
        <f t="shared" si="6"/>
        <v>2.9119389496937444E-3</v>
      </c>
      <c r="AF81" s="4">
        <f t="shared" si="6"/>
        <v>5.6625141562853913E-3</v>
      </c>
      <c r="AG81" s="4">
        <f t="shared" si="6"/>
        <v>3.8840679466063573E-3</v>
      </c>
      <c r="AH81" s="4">
        <f t="shared" si="6"/>
        <v>3.9568951001852171E-3</v>
      </c>
      <c r="AI81" s="4">
        <f t="shared" si="6"/>
        <v>5.0969489592244087E-3</v>
      </c>
      <c r="AJ81" s="4">
        <f t="shared" si="6"/>
        <v>2.1947472382763915E-4</v>
      </c>
      <c r="AK81" s="4">
        <f t="shared" si="6"/>
        <v>1.0025481431972932E-3</v>
      </c>
      <c r="AL81" s="4">
        <f t="shared" si="6"/>
        <v>2.6725016285556802E-4</v>
      </c>
      <c r="AM81" s="4">
        <f t="shared" si="6"/>
        <v>2.3243801652892562E-4</v>
      </c>
      <c r="AN81" s="4">
        <f t="shared" si="6"/>
        <v>3.2928779753504559E-4</v>
      </c>
      <c r="AO81" s="4">
        <f t="shared" si="6"/>
        <v>4.1117575707736278E-3</v>
      </c>
      <c r="AP81" s="4">
        <f t="shared" si="6"/>
        <v>2.4375133301510242E-3</v>
      </c>
      <c r="AQ81" s="4">
        <f t="shared" si="6"/>
        <v>3.2520662012966838E-3</v>
      </c>
      <c r="AR81" s="4">
        <f t="shared" ref="AR81:AT81" si="7">AR25/AR$51</f>
        <v>4.6448616218308491E-3</v>
      </c>
      <c r="AS81" s="4">
        <f t="shared" si="7"/>
        <v>3.6057692307692314E-3</v>
      </c>
      <c r="AT81" s="12">
        <f t="shared" si="7"/>
        <v>0</v>
      </c>
    </row>
    <row r="82" spans="1:46" x14ac:dyDescent="0.25">
      <c r="A82" s="18" t="s">
        <v>70</v>
      </c>
      <c r="B82" s="22">
        <f t="shared" si="5"/>
        <v>2.2979060868235871E-3</v>
      </c>
      <c r="C82" s="4">
        <f t="shared" si="5"/>
        <v>6.5074510314309887E-4</v>
      </c>
      <c r="D82" s="4">
        <f t="shared" si="5"/>
        <v>0</v>
      </c>
      <c r="E82" s="4">
        <f t="shared" si="5"/>
        <v>4.2465249271013217E-3</v>
      </c>
      <c r="F82" s="4">
        <f t="shared" si="5"/>
        <v>8.1110974560648884E-3</v>
      </c>
      <c r="G82" s="4">
        <f t="shared" si="5"/>
        <v>1.256849121617805E-3</v>
      </c>
      <c r="H82" s="4">
        <f t="shared" si="5"/>
        <v>1.7515104769250547E-3</v>
      </c>
      <c r="I82" s="4">
        <f t="shared" si="5"/>
        <v>3.012653143201446E-3</v>
      </c>
      <c r="J82" s="4">
        <f t="shared" si="5"/>
        <v>1.0491177873152124E-3</v>
      </c>
      <c r="K82" s="4">
        <f t="shared" si="5"/>
        <v>0</v>
      </c>
      <c r="L82" s="4">
        <f t="shared" si="5"/>
        <v>1.4864195306517724E-3</v>
      </c>
      <c r="M82" s="4">
        <f t="shared" si="5"/>
        <v>1.6539695268644747E-3</v>
      </c>
      <c r="N82" s="4">
        <f t="shared" si="5"/>
        <v>1.0593220338983051E-3</v>
      </c>
      <c r="O82" s="4">
        <f t="shared" si="5"/>
        <v>3.1724309529733764E-3</v>
      </c>
      <c r="P82" s="4">
        <f t="shared" si="5"/>
        <v>1.103254601073166E-3</v>
      </c>
      <c r="Q82" s="4">
        <f t="shared" si="5"/>
        <v>9.4258783204798633E-4</v>
      </c>
      <c r="R82" s="4">
        <f t="shared" ref="C82:AT88" si="8">R26/R$51</f>
        <v>3.226607098535617E-3</v>
      </c>
      <c r="S82" s="4">
        <f t="shared" si="8"/>
        <v>2.4985803520726864E-3</v>
      </c>
      <c r="T82" s="4">
        <f t="shared" si="8"/>
        <v>2.7229407760381214E-3</v>
      </c>
      <c r="U82" s="4">
        <f t="shared" si="8"/>
        <v>6.9416543904289993E-3</v>
      </c>
      <c r="V82" s="4">
        <f t="shared" si="8"/>
        <v>4.4967880085653106E-3</v>
      </c>
      <c r="W82" s="4">
        <f t="shared" si="8"/>
        <v>3.2980518484430127E-3</v>
      </c>
      <c r="X82" s="4">
        <f t="shared" si="8"/>
        <v>6.9991060331857924E-3</v>
      </c>
      <c r="Y82" s="4">
        <f t="shared" si="8"/>
        <v>5.4606552786334358E-3</v>
      </c>
      <c r="Z82" s="4">
        <f t="shared" si="8"/>
        <v>1.3011896591169068E-3</v>
      </c>
      <c r="AA82" s="4">
        <f t="shared" si="8"/>
        <v>4.964528696865732E-3</v>
      </c>
      <c r="AB82" s="4">
        <f t="shared" si="8"/>
        <v>2.3825731790333557E-3</v>
      </c>
      <c r="AC82" s="4">
        <f t="shared" si="8"/>
        <v>1.3839959738298946E-3</v>
      </c>
      <c r="AD82" s="4">
        <f t="shared" si="8"/>
        <v>2.876663070837828E-3</v>
      </c>
      <c r="AE82" s="4">
        <f t="shared" si="8"/>
        <v>3.865849984938247E-3</v>
      </c>
      <c r="AF82" s="4">
        <f t="shared" si="8"/>
        <v>2.1234428086070217E-3</v>
      </c>
      <c r="AG82" s="4">
        <f t="shared" si="8"/>
        <v>1.0324737579586519E-3</v>
      </c>
      <c r="AH82" s="4">
        <f t="shared" si="8"/>
        <v>5.051355447044957E-3</v>
      </c>
      <c r="AI82" s="4">
        <f t="shared" si="8"/>
        <v>2.7801539777587681E-3</v>
      </c>
      <c r="AJ82" s="4">
        <f t="shared" si="8"/>
        <v>1.316848342965835E-3</v>
      </c>
      <c r="AK82" s="4">
        <f t="shared" si="8"/>
        <v>5.9735160198838714E-3</v>
      </c>
      <c r="AL82" s="4">
        <f t="shared" si="8"/>
        <v>2.388548330521639E-3</v>
      </c>
      <c r="AM82" s="4">
        <f t="shared" si="8"/>
        <v>1.0588842975206611E-3</v>
      </c>
      <c r="AN82" s="4">
        <f t="shared" si="8"/>
        <v>9.8786339260513683E-4</v>
      </c>
      <c r="AO82" s="4">
        <f t="shared" si="8"/>
        <v>8.7923082721709407E-3</v>
      </c>
      <c r="AP82" s="4">
        <f t="shared" si="8"/>
        <v>5.3523730207899571E-3</v>
      </c>
      <c r="AQ82" s="4">
        <f t="shared" si="8"/>
        <v>5.0541665803591771E-3</v>
      </c>
      <c r="AR82" s="4">
        <f t="shared" si="8"/>
        <v>3.6771821172827553E-3</v>
      </c>
      <c r="AS82" s="4">
        <f t="shared" si="8"/>
        <v>2.670940170940171E-3</v>
      </c>
      <c r="AT82" s="12">
        <f t="shared" si="8"/>
        <v>0</v>
      </c>
    </row>
    <row r="83" spans="1:46" x14ac:dyDescent="0.25">
      <c r="A83" s="18" t="s">
        <v>71</v>
      </c>
      <c r="B83" s="22">
        <f t="shared" si="5"/>
        <v>3.7841401483845391E-2</v>
      </c>
      <c r="C83" s="4">
        <f t="shared" si="8"/>
        <v>4.0085898353614889E-2</v>
      </c>
      <c r="D83" s="4">
        <f t="shared" si="8"/>
        <v>3.6231884057971015E-3</v>
      </c>
      <c r="E83" s="4">
        <f t="shared" si="8"/>
        <v>1.9930356991195539E-2</v>
      </c>
      <c r="F83" s="4">
        <f t="shared" si="8"/>
        <v>2.0154848224161234E-2</v>
      </c>
      <c r="G83" s="4">
        <f t="shared" si="8"/>
        <v>6.793104746841401E-2</v>
      </c>
      <c r="H83" s="4">
        <f t="shared" si="8"/>
        <v>0.11540686463555729</v>
      </c>
      <c r="I83" s="4">
        <f t="shared" si="8"/>
        <v>7.4914641494275958E-2</v>
      </c>
      <c r="J83" s="4">
        <f t="shared" si="8"/>
        <v>7.391511683357177E-2</v>
      </c>
      <c r="K83" s="4">
        <f t="shared" si="8"/>
        <v>5.2941176470588235E-2</v>
      </c>
      <c r="L83" s="4">
        <f t="shared" si="8"/>
        <v>4.8901701124573968E-2</v>
      </c>
      <c r="M83" s="4">
        <f t="shared" si="8"/>
        <v>5.1122694466720124E-2</v>
      </c>
      <c r="N83" s="4">
        <f t="shared" si="8"/>
        <v>0.13336864406779661</v>
      </c>
      <c r="O83" s="4">
        <f t="shared" si="8"/>
        <v>5.4988803184871864E-2</v>
      </c>
      <c r="P83" s="4">
        <f t="shared" si="8"/>
        <v>5.531317386289554E-2</v>
      </c>
      <c r="Q83" s="4">
        <f t="shared" si="8"/>
        <v>6.8423307626392454E-2</v>
      </c>
      <c r="R83" s="4">
        <f t="shared" si="8"/>
        <v>0.11975676346487962</v>
      </c>
      <c r="S83" s="4">
        <f t="shared" si="8"/>
        <v>7.3253833049403749E-2</v>
      </c>
      <c r="T83" s="4">
        <f t="shared" si="8"/>
        <v>0.10857726344452007</v>
      </c>
      <c r="U83" s="4">
        <f t="shared" si="8"/>
        <v>0.1113789562965939</v>
      </c>
      <c r="V83" s="4">
        <f t="shared" si="8"/>
        <v>4.967880085653105E-2</v>
      </c>
      <c r="W83" s="4">
        <f t="shared" si="8"/>
        <v>6.8415401135143425E-2</v>
      </c>
      <c r="X83" s="4">
        <f t="shared" si="8"/>
        <v>2.391906329721126E-2</v>
      </c>
      <c r="Y83" s="4">
        <f t="shared" si="8"/>
        <v>2.1422570708485019E-2</v>
      </c>
      <c r="Z83" s="4">
        <f t="shared" si="8"/>
        <v>5.2340711507664152E-2</v>
      </c>
      <c r="AA83" s="4">
        <f t="shared" si="8"/>
        <v>2.9503692504506598E-2</v>
      </c>
      <c r="AB83" s="4">
        <f t="shared" si="8"/>
        <v>6.7890244541027392E-2</v>
      </c>
      <c r="AC83" s="4">
        <f t="shared" si="8"/>
        <v>5.2466029189733275E-2</v>
      </c>
      <c r="AD83" s="4">
        <f t="shared" si="8"/>
        <v>0.11175836030204962</v>
      </c>
      <c r="AE83" s="4">
        <f t="shared" si="8"/>
        <v>2.8265890149613414E-2</v>
      </c>
      <c r="AF83" s="4">
        <f t="shared" si="8"/>
        <v>2.9020385050962629E-2</v>
      </c>
      <c r="AG83" s="4">
        <f t="shared" si="8"/>
        <v>3.1515032326261704E-2</v>
      </c>
      <c r="AH83" s="4">
        <f t="shared" si="8"/>
        <v>5.1439636302407818E-2</v>
      </c>
      <c r="AI83" s="4">
        <f t="shared" si="8"/>
        <v>2.1528371827773025E-2</v>
      </c>
      <c r="AJ83" s="4">
        <f t="shared" si="8"/>
        <v>5.7063428195186184E-3</v>
      </c>
      <c r="AK83" s="4">
        <f t="shared" si="8"/>
        <v>2.5899160365930075E-3</v>
      </c>
      <c r="AL83" s="4">
        <f t="shared" si="8"/>
        <v>2.5221734119494229E-3</v>
      </c>
      <c r="AM83" s="4">
        <f t="shared" si="8"/>
        <v>6.9214876033057851E-3</v>
      </c>
      <c r="AN83" s="4">
        <f t="shared" si="8"/>
        <v>1.2607018534198889E-2</v>
      </c>
      <c r="AO83" s="4">
        <f t="shared" si="8"/>
        <v>6.5424915880293033E-2</v>
      </c>
      <c r="AP83" s="4">
        <f t="shared" si="8"/>
        <v>1.2411005372685632E-2</v>
      </c>
      <c r="AQ83" s="4">
        <f t="shared" si="8"/>
        <v>2.1231642397000643E-2</v>
      </c>
      <c r="AR83" s="4">
        <f t="shared" si="8"/>
        <v>2.3998451712792721E-2</v>
      </c>
      <c r="AS83" s="4">
        <f t="shared" si="8"/>
        <v>2.49732905982906E-2</v>
      </c>
      <c r="AT83" s="12">
        <f t="shared" si="8"/>
        <v>0</v>
      </c>
    </row>
    <row r="84" spans="1:46" x14ac:dyDescent="0.25">
      <c r="A84" s="18" t="s">
        <v>72</v>
      </c>
      <c r="B84" s="22">
        <f t="shared" si="5"/>
        <v>1.0056324974560604E-2</v>
      </c>
      <c r="C84" s="4">
        <f t="shared" si="8"/>
        <v>9.7611765471464825E-3</v>
      </c>
      <c r="D84" s="4">
        <f t="shared" si="8"/>
        <v>3.6231884057971015E-3</v>
      </c>
      <c r="E84" s="4">
        <f t="shared" si="8"/>
        <v>1.4664666081589898E-2</v>
      </c>
      <c r="F84" s="4">
        <f t="shared" si="8"/>
        <v>1.0200319528081602E-2</v>
      </c>
      <c r="G84" s="4">
        <f t="shared" si="8"/>
        <v>1.5590577868157939E-2</v>
      </c>
      <c r="H84" s="4">
        <f t="shared" si="8"/>
        <v>2.1516261730299528E-2</v>
      </c>
      <c r="I84" s="4">
        <f t="shared" si="8"/>
        <v>2.2896163888330993E-2</v>
      </c>
      <c r="J84" s="4">
        <f t="shared" si="8"/>
        <v>2.8898426323319029E-2</v>
      </c>
      <c r="K84" s="4">
        <f t="shared" si="8"/>
        <v>5.2941176470588235E-2</v>
      </c>
      <c r="L84" s="4">
        <f t="shared" si="8"/>
        <v>3.0163806435145563E-2</v>
      </c>
      <c r="M84" s="4">
        <f t="shared" si="8"/>
        <v>1.5336808340016038E-2</v>
      </c>
      <c r="N84" s="4">
        <f t="shared" si="8"/>
        <v>3.0402542372881355E-2</v>
      </c>
      <c r="O84" s="4">
        <f t="shared" si="8"/>
        <v>2.2020403085344614E-2</v>
      </c>
      <c r="P84" s="4">
        <f t="shared" si="8"/>
        <v>2.5976631061631814E-2</v>
      </c>
      <c r="Q84" s="4">
        <f t="shared" si="8"/>
        <v>2.5578406169665811E-2</v>
      </c>
      <c r="R84" s="4">
        <f t="shared" si="8"/>
        <v>2.5812856788284936E-2</v>
      </c>
      <c r="S84" s="4">
        <f t="shared" si="8"/>
        <v>2.3026689381033503E-2</v>
      </c>
      <c r="T84" s="4">
        <f t="shared" si="8"/>
        <v>2.5867937372362149E-2</v>
      </c>
      <c r="U84" s="4">
        <f t="shared" si="8"/>
        <v>7.5443060577652784E-3</v>
      </c>
      <c r="V84" s="4">
        <f t="shared" si="8"/>
        <v>1.3490364025695931E-2</v>
      </c>
      <c r="W84" s="4">
        <f t="shared" si="8"/>
        <v>1.679705476300046E-2</v>
      </c>
      <c r="X84" s="4">
        <f t="shared" si="8"/>
        <v>2.1106338442753416E-2</v>
      </c>
      <c r="Y84" s="4">
        <f t="shared" si="8"/>
        <v>1.7082049845981516E-2</v>
      </c>
      <c r="Z84" s="4">
        <f t="shared" si="8"/>
        <v>1.7980725234500113E-2</v>
      </c>
      <c r="AA84" s="4">
        <f t="shared" si="8"/>
        <v>1.0830377391405478E-2</v>
      </c>
      <c r="AB84" s="4">
        <f t="shared" si="8"/>
        <v>1.72016547101639E-2</v>
      </c>
      <c r="AC84" s="4">
        <f t="shared" si="8"/>
        <v>1.3839959738298943E-2</v>
      </c>
      <c r="AD84" s="4">
        <f t="shared" si="8"/>
        <v>2.509888529306005E-2</v>
      </c>
      <c r="AE84" s="4">
        <f t="shared" si="8"/>
        <v>8.9868460688824169E-3</v>
      </c>
      <c r="AF84" s="4">
        <f t="shared" si="8"/>
        <v>6.2287655719139301E-3</v>
      </c>
      <c r="AG84" s="4">
        <f t="shared" si="8"/>
        <v>6.2931733818432116E-3</v>
      </c>
      <c r="AH84" s="4">
        <f t="shared" si="8"/>
        <v>2.6772183869338273E-2</v>
      </c>
      <c r="AI84" s="4">
        <f t="shared" si="8"/>
        <v>3.7068719703450244E-3</v>
      </c>
      <c r="AJ84" s="4">
        <f t="shared" si="8"/>
        <v>9.5105713658643644E-4</v>
      </c>
      <c r="AK84" s="4">
        <f t="shared" si="8"/>
        <v>2.0747176852277316E-3</v>
      </c>
      <c r="AL84" s="4">
        <f t="shared" si="8"/>
        <v>4.0087524428335198E-4</v>
      </c>
      <c r="AM84" s="4">
        <f t="shared" si="8"/>
        <v>1.2396694214876032E-3</v>
      </c>
      <c r="AN84" s="4">
        <f t="shared" si="8"/>
        <v>1.9757267852102737E-3</v>
      </c>
      <c r="AO84" s="4">
        <f t="shared" si="8"/>
        <v>6.7775470624918625E-3</v>
      </c>
      <c r="AP84" s="4">
        <f t="shared" si="8"/>
        <v>6.3578472694772546E-3</v>
      </c>
      <c r="AQ84" s="4">
        <f t="shared" si="8"/>
        <v>6.9184083518031361E-3</v>
      </c>
      <c r="AR84" s="4">
        <f t="shared" si="8"/>
        <v>1.354751306367331E-2</v>
      </c>
      <c r="AS84" s="4">
        <f t="shared" si="8"/>
        <v>1.4957264957264958E-2</v>
      </c>
      <c r="AT84" s="12">
        <f t="shared" si="8"/>
        <v>0</v>
      </c>
    </row>
    <row r="85" spans="1:46" x14ac:dyDescent="0.25">
      <c r="A85" s="18" t="s">
        <v>73</v>
      </c>
      <c r="B85" s="22">
        <f t="shared" si="5"/>
        <v>5.6611615652514564E-3</v>
      </c>
      <c r="C85" s="4">
        <f t="shared" si="8"/>
        <v>1.4056094227890935E-2</v>
      </c>
      <c r="D85" s="4">
        <f t="shared" si="8"/>
        <v>1.0869565217391304E-2</v>
      </c>
      <c r="E85" s="4">
        <f t="shared" si="8"/>
        <v>4.4871613396370635E-2</v>
      </c>
      <c r="F85" s="4">
        <f t="shared" si="8"/>
        <v>8.6026791200688214E-3</v>
      </c>
      <c r="G85" s="4">
        <f t="shared" si="8"/>
        <v>4.5472518782127321E-3</v>
      </c>
      <c r="H85" s="4">
        <f t="shared" si="8"/>
        <v>3.5672965676822213E-3</v>
      </c>
      <c r="I85" s="4">
        <f t="shared" si="8"/>
        <v>1.2452299658565978E-2</v>
      </c>
      <c r="J85" s="4">
        <f t="shared" si="8"/>
        <v>8.8698140200286126E-3</v>
      </c>
      <c r="K85" s="4">
        <f t="shared" si="8"/>
        <v>1.7647058823529412E-2</v>
      </c>
      <c r="L85" s="4">
        <f t="shared" si="8"/>
        <v>5.6153626713511401E-3</v>
      </c>
      <c r="M85" s="4">
        <f t="shared" si="8"/>
        <v>3.9595028067361667E-3</v>
      </c>
      <c r="N85" s="4">
        <f t="shared" si="8"/>
        <v>5.6144067796610169E-3</v>
      </c>
      <c r="O85" s="4">
        <f t="shared" si="8"/>
        <v>1.1943269470017417E-2</v>
      </c>
      <c r="P85" s="4">
        <f t="shared" si="8"/>
        <v>1.8554736472594154E-3</v>
      </c>
      <c r="Q85" s="4">
        <f t="shared" si="8"/>
        <v>5.9554413024850046E-3</v>
      </c>
      <c r="R85" s="4">
        <f t="shared" si="8"/>
        <v>2.0724745594440309E-2</v>
      </c>
      <c r="S85" s="4">
        <f t="shared" si="8"/>
        <v>1.2322544009085746E-2</v>
      </c>
      <c r="T85" s="4">
        <f t="shared" si="8"/>
        <v>7.1477195371000678E-3</v>
      </c>
      <c r="U85" s="4">
        <f t="shared" si="8"/>
        <v>1.5177893844024821E-3</v>
      </c>
      <c r="V85" s="4">
        <f t="shared" si="8"/>
        <v>3.2119914346895075E-3</v>
      </c>
      <c r="W85" s="4">
        <f t="shared" si="8"/>
        <v>5.6757171345298363E-3</v>
      </c>
      <c r="X85" s="4">
        <f t="shared" si="8"/>
        <v>1.5044807361053573E-3</v>
      </c>
      <c r="Y85" s="4">
        <f t="shared" si="8"/>
        <v>1.8202184262111453E-3</v>
      </c>
      <c r="Z85" s="4">
        <f t="shared" si="8"/>
        <v>1.1153054221002057E-3</v>
      </c>
      <c r="AA85" s="4">
        <f t="shared" si="8"/>
        <v>1.7793801244403093E-2</v>
      </c>
      <c r="AB85" s="4">
        <f t="shared" si="8"/>
        <v>2.5553751898203903E-2</v>
      </c>
      <c r="AC85" s="4">
        <f t="shared" si="8"/>
        <v>0.22055863110216409</v>
      </c>
      <c r="AD85" s="4">
        <f t="shared" si="8"/>
        <v>2.322905429701546E-2</v>
      </c>
      <c r="AE85" s="4">
        <f t="shared" si="8"/>
        <v>4.9502962144793654E-2</v>
      </c>
      <c r="AF85" s="4">
        <f t="shared" si="8"/>
        <v>5.0962627406568517E-3</v>
      </c>
      <c r="AG85" s="4">
        <f t="shared" si="8"/>
        <v>6.1456771307062609E-4</v>
      </c>
      <c r="AH85" s="4">
        <f t="shared" si="8"/>
        <v>2.9550429365213002E-2</v>
      </c>
      <c r="AI85" s="4">
        <f t="shared" si="8"/>
        <v>1.9247219846022243E-3</v>
      </c>
      <c r="AJ85" s="4">
        <f t="shared" si="8"/>
        <v>3.6579120637939862E-4</v>
      </c>
      <c r="AK85" s="4">
        <f t="shared" si="8"/>
        <v>3.341827143990977E-3</v>
      </c>
      <c r="AL85" s="4">
        <f t="shared" si="8"/>
        <v>1.00218811070838E-4</v>
      </c>
      <c r="AM85" s="4">
        <f t="shared" si="8"/>
        <v>3.8739669421487604E-4</v>
      </c>
      <c r="AN85" s="4">
        <f t="shared" si="8"/>
        <v>1.0819456204722926E-3</v>
      </c>
      <c r="AO85" s="4">
        <f t="shared" si="8"/>
        <v>5.6262549426752467E-3</v>
      </c>
      <c r="AP85" s="4">
        <f t="shared" si="8"/>
        <v>4.7937762159636814E-3</v>
      </c>
      <c r="AQ85" s="4">
        <f t="shared" si="8"/>
        <v>5.5098701244899236E-3</v>
      </c>
      <c r="AR85" s="4">
        <f t="shared" si="8"/>
        <v>1.935359009096187E-2</v>
      </c>
      <c r="AS85" s="4">
        <f t="shared" si="8"/>
        <v>1.7227564102564104E-2</v>
      </c>
      <c r="AT85" s="12">
        <f t="shared" si="8"/>
        <v>0</v>
      </c>
    </row>
    <row r="86" spans="1:46" x14ac:dyDescent="0.25">
      <c r="A86" s="18" t="s">
        <v>74</v>
      </c>
      <c r="B86" s="22">
        <f t="shared" si="5"/>
        <v>1.4809789748759085E-3</v>
      </c>
      <c r="C86" s="4">
        <f t="shared" si="8"/>
        <v>1.2364156959718878E-3</v>
      </c>
      <c r="D86" s="4">
        <f t="shared" si="8"/>
        <v>0</v>
      </c>
      <c r="E86" s="4">
        <f t="shared" si="8"/>
        <v>5.5487925714123943E-3</v>
      </c>
      <c r="F86" s="4">
        <f t="shared" si="8"/>
        <v>1.1060587440088485E-3</v>
      </c>
      <c r="G86" s="4">
        <f t="shared" si="8"/>
        <v>1.774652130524017E-3</v>
      </c>
      <c r="H86" s="4">
        <f t="shared" si="8"/>
        <v>1.8639928011312508E-3</v>
      </c>
      <c r="I86" s="4">
        <f t="shared" si="8"/>
        <v>2.4101225145611569E-3</v>
      </c>
      <c r="J86" s="4">
        <f t="shared" si="8"/>
        <v>2.4797329518359561E-3</v>
      </c>
      <c r="K86" s="4">
        <f t="shared" si="8"/>
        <v>5.8823529411764705E-3</v>
      </c>
      <c r="L86" s="4">
        <f t="shared" si="8"/>
        <v>2.0869930783898624E-3</v>
      </c>
      <c r="M86" s="4">
        <f t="shared" si="8"/>
        <v>2.2554129911788292E-3</v>
      </c>
      <c r="N86" s="4">
        <f t="shared" si="8"/>
        <v>2.542372881355932E-3</v>
      </c>
      <c r="O86" s="4">
        <f t="shared" si="8"/>
        <v>2.3326698183627767E-3</v>
      </c>
      <c r="P86" s="4">
        <f t="shared" si="8"/>
        <v>1.4041422195476656E-3</v>
      </c>
      <c r="Q86" s="4">
        <f t="shared" si="8"/>
        <v>2.1422450728363325E-3</v>
      </c>
      <c r="R86" s="4">
        <f t="shared" si="8"/>
        <v>6.7014147431124355E-3</v>
      </c>
      <c r="S86" s="4">
        <f t="shared" si="8"/>
        <v>3.1800113571834182E-3</v>
      </c>
      <c r="T86" s="4">
        <f t="shared" si="8"/>
        <v>2.3825731790333557E-3</v>
      </c>
      <c r="U86" s="4">
        <f t="shared" si="8"/>
        <v>6.4729253158341145E-4</v>
      </c>
      <c r="V86" s="4">
        <f t="shared" si="8"/>
        <v>1.2847965738758029E-3</v>
      </c>
      <c r="W86" s="4">
        <f t="shared" si="8"/>
        <v>2.6077619266758707E-3</v>
      </c>
      <c r="X86" s="4">
        <f t="shared" si="8"/>
        <v>1.2864400497132765E-3</v>
      </c>
      <c r="Y86" s="4">
        <f t="shared" si="8"/>
        <v>1.1201344161299357E-3</v>
      </c>
      <c r="Z86" s="4">
        <f t="shared" si="8"/>
        <v>1.0509608785175017E-3</v>
      </c>
      <c r="AA86" s="4">
        <f t="shared" si="8"/>
        <v>2.9220212827818807E-3</v>
      </c>
      <c r="AB86" s="4">
        <f t="shared" si="8"/>
        <v>2.984762004503325E-3</v>
      </c>
      <c r="AC86" s="4">
        <f t="shared" si="8"/>
        <v>3.6487166582788123E-3</v>
      </c>
      <c r="AD86" s="4">
        <f t="shared" si="8"/>
        <v>3.1067961165048546E-2</v>
      </c>
      <c r="AE86" s="4">
        <f t="shared" si="8"/>
        <v>6.0749071191886737E-3</v>
      </c>
      <c r="AF86" s="4">
        <f t="shared" si="8"/>
        <v>2.9728199320498304E-3</v>
      </c>
      <c r="AG86" s="4">
        <f t="shared" si="8"/>
        <v>6.1456771307062609E-4</v>
      </c>
      <c r="AH86" s="4">
        <f t="shared" si="8"/>
        <v>1.7511365549755853E-2</v>
      </c>
      <c r="AI86" s="4">
        <f t="shared" si="8"/>
        <v>1.1049329911605361E-3</v>
      </c>
      <c r="AJ86" s="4">
        <f t="shared" si="8"/>
        <v>2.9263296510351888E-4</v>
      </c>
      <c r="AK86" s="4">
        <f t="shared" si="8"/>
        <v>3.7038584179233331E-3</v>
      </c>
      <c r="AL86" s="4">
        <f t="shared" si="8"/>
        <v>8.3515675892365001E-5</v>
      </c>
      <c r="AM86" s="4">
        <f t="shared" si="8"/>
        <v>2.5826446280991736E-4</v>
      </c>
      <c r="AN86" s="4">
        <f t="shared" si="8"/>
        <v>6.5857559507009119E-4</v>
      </c>
      <c r="AO86" s="4">
        <f t="shared" si="8"/>
        <v>4.9752266606360885E-3</v>
      </c>
      <c r="AP86" s="4">
        <f t="shared" si="8"/>
        <v>3.6156447730573528E-3</v>
      </c>
      <c r="AQ86" s="4">
        <f t="shared" si="8"/>
        <v>3.8734801251113365E-3</v>
      </c>
      <c r="AR86" s="4">
        <f t="shared" si="8"/>
        <v>9.8703309463905545E-3</v>
      </c>
      <c r="AS86" s="4">
        <f t="shared" si="8"/>
        <v>1.028311965811966E-2</v>
      </c>
      <c r="AT86" s="12">
        <f t="shared" si="8"/>
        <v>0</v>
      </c>
    </row>
    <row r="87" spans="1:46" x14ac:dyDescent="0.25">
      <c r="A87" s="18" t="s">
        <v>75</v>
      </c>
      <c r="B87" s="22">
        <f t="shared" si="5"/>
        <v>4.2757296210127029E-3</v>
      </c>
      <c r="C87" s="4">
        <f t="shared" si="8"/>
        <v>3.5790980672870437E-3</v>
      </c>
      <c r="D87" s="4">
        <f t="shared" si="8"/>
        <v>3.6231884057971015E-3</v>
      </c>
      <c r="E87" s="4">
        <f t="shared" si="8"/>
        <v>1.1465617303173569E-2</v>
      </c>
      <c r="F87" s="4">
        <f t="shared" si="8"/>
        <v>3.5639670640285116E-3</v>
      </c>
      <c r="G87" s="4">
        <f t="shared" si="8"/>
        <v>4.975616185580599E-3</v>
      </c>
      <c r="H87" s="4">
        <f t="shared" si="8"/>
        <v>4.9652911685306592E-3</v>
      </c>
      <c r="I87" s="4">
        <f t="shared" si="8"/>
        <v>7.6320546294436631E-3</v>
      </c>
      <c r="J87" s="4">
        <f t="shared" si="8"/>
        <v>6.6762041010968052E-3</v>
      </c>
      <c r="K87" s="4">
        <f t="shared" si="8"/>
        <v>1.7647058823529412E-2</v>
      </c>
      <c r="L87" s="4">
        <f t="shared" si="8"/>
        <v>5.1949611879344776E-3</v>
      </c>
      <c r="M87" s="4">
        <f t="shared" si="8"/>
        <v>4.0597433841218925E-3</v>
      </c>
      <c r="N87" s="4">
        <f t="shared" si="8"/>
        <v>7.3093220338983052E-3</v>
      </c>
      <c r="O87" s="4">
        <f t="shared" si="8"/>
        <v>7.8377705896989312E-3</v>
      </c>
      <c r="P87" s="4">
        <f t="shared" si="8"/>
        <v>3.7610952309312475E-3</v>
      </c>
      <c r="Q87" s="4">
        <f t="shared" si="8"/>
        <v>5.0556983718937449E-3</v>
      </c>
      <c r="R87" s="4">
        <f t="shared" si="8"/>
        <v>1.0548523206751056E-2</v>
      </c>
      <c r="S87" s="4">
        <f t="shared" si="8"/>
        <v>7.1834185122089727E-3</v>
      </c>
      <c r="T87" s="4">
        <f t="shared" si="8"/>
        <v>6.1266167460857727E-3</v>
      </c>
      <c r="U87" s="4">
        <f t="shared" si="8"/>
        <v>1.8525958662559709E-3</v>
      </c>
      <c r="V87" s="4">
        <f t="shared" si="8"/>
        <v>2.78372591006424E-3</v>
      </c>
      <c r="W87" s="4">
        <f t="shared" si="8"/>
        <v>5.4456204939407884E-3</v>
      </c>
      <c r="X87" s="4">
        <f t="shared" si="8"/>
        <v>6.3667880426487578E-3</v>
      </c>
      <c r="Y87" s="4">
        <f t="shared" si="8"/>
        <v>5.1806216746009522E-3</v>
      </c>
      <c r="Z87" s="4">
        <f t="shared" si="8"/>
        <v>2.6452756806222832E-3</v>
      </c>
      <c r="AA87" s="4">
        <f t="shared" si="8"/>
        <v>1.0997557713554691E-2</v>
      </c>
      <c r="AB87" s="4">
        <f t="shared" si="8"/>
        <v>2.0395873697439389E-2</v>
      </c>
      <c r="AC87" s="4">
        <f t="shared" si="8"/>
        <v>4.5294413688978359E-2</v>
      </c>
      <c r="AD87" s="4">
        <f t="shared" si="8"/>
        <v>5.8036677454153182E-2</v>
      </c>
      <c r="AE87" s="4">
        <f t="shared" si="8"/>
        <v>3.895973491314389E-2</v>
      </c>
      <c r="AF87" s="4">
        <f t="shared" si="8"/>
        <v>4.8131370328425823E-3</v>
      </c>
      <c r="AG87" s="4">
        <f t="shared" si="8"/>
        <v>1.0078910494358267E-3</v>
      </c>
      <c r="AH87" s="4">
        <f t="shared" si="8"/>
        <v>2.2646910254251557E-2</v>
      </c>
      <c r="AI87" s="4">
        <f t="shared" si="8"/>
        <v>1.7465069860279443E-3</v>
      </c>
      <c r="AJ87" s="4">
        <f t="shared" si="8"/>
        <v>3.6579120637939862E-4</v>
      </c>
      <c r="AK87" s="4">
        <f t="shared" si="8"/>
        <v>1.8380049291950374E-3</v>
      </c>
      <c r="AL87" s="4">
        <f t="shared" si="8"/>
        <v>1.1692194624931099E-4</v>
      </c>
      <c r="AM87" s="4">
        <f t="shared" si="8"/>
        <v>3.8739669421487604E-4</v>
      </c>
      <c r="AN87" s="4">
        <f t="shared" si="8"/>
        <v>8.4674005080440302E-4</v>
      </c>
      <c r="AO87" s="4">
        <f t="shared" si="8"/>
        <v>3.501846864442206E-3</v>
      </c>
      <c r="AP87" s="4">
        <f t="shared" si="8"/>
        <v>2.0820426361706666E-3</v>
      </c>
      <c r="AQ87" s="4">
        <f t="shared" si="8"/>
        <v>3.0863558216127763E-3</v>
      </c>
      <c r="AR87" s="4">
        <f t="shared" si="8"/>
        <v>9.0961873427520806E-3</v>
      </c>
      <c r="AS87" s="4">
        <f t="shared" si="8"/>
        <v>1.09508547008547E-2</v>
      </c>
      <c r="AT87" s="12">
        <f t="shared" si="8"/>
        <v>0</v>
      </c>
    </row>
    <row r="88" spans="1:46" x14ac:dyDescent="0.25">
      <c r="A88" s="18" t="s">
        <v>76</v>
      </c>
      <c r="B88" s="22">
        <f t="shared" si="5"/>
        <v>1.0510173370087093E-4</v>
      </c>
      <c r="C88" s="4">
        <f t="shared" si="8"/>
        <v>2.6029804125723955E-4</v>
      </c>
      <c r="D88" s="4">
        <f t="shared" si="8"/>
        <v>0</v>
      </c>
      <c r="E88" s="4">
        <f t="shared" si="8"/>
        <v>1.1324066472270192E-4</v>
      </c>
      <c r="F88" s="4">
        <f t="shared" si="8"/>
        <v>3.6868624800294946E-4</v>
      </c>
      <c r="G88" s="4">
        <f t="shared" si="8"/>
        <v>1.9770660340055361E-4</v>
      </c>
      <c r="H88" s="4">
        <f t="shared" si="8"/>
        <v>2.8924026224450445E-4</v>
      </c>
      <c r="I88" s="4">
        <f t="shared" ref="C88:AT93" si="9">I32/I$51</f>
        <v>4.0168708576019286E-4</v>
      </c>
      <c r="J88" s="4">
        <f t="shared" si="9"/>
        <v>5.722460658082975E-4</v>
      </c>
      <c r="K88" s="4">
        <f t="shared" si="9"/>
        <v>0</v>
      </c>
      <c r="L88" s="4">
        <f t="shared" si="9"/>
        <v>3.4532978994940164E-4</v>
      </c>
      <c r="M88" s="4">
        <f t="shared" si="9"/>
        <v>6.0144346431435444E-4</v>
      </c>
      <c r="N88" s="4">
        <f t="shared" si="9"/>
        <v>3.177966101694915E-4</v>
      </c>
      <c r="O88" s="4">
        <f t="shared" si="9"/>
        <v>2.7992037820353323E-4</v>
      </c>
      <c r="P88" s="4">
        <f t="shared" si="9"/>
        <v>1.0029587282483327E-4</v>
      </c>
      <c r="Q88" s="4">
        <f t="shared" si="9"/>
        <v>4.7129391602399316E-4</v>
      </c>
      <c r="R88" s="4">
        <f t="shared" si="9"/>
        <v>2.4820054604120131E-4</v>
      </c>
      <c r="S88" s="4">
        <f t="shared" si="9"/>
        <v>3.6910846110164682E-4</v>
      </c>
      <c r="T88" s="4">
        <f t="shared" si="9"/>
        <v>6.8073519400953036E-4</v>
      </c>
      <c r="U88" s="4">
        <f t="shared" si="9"/>
        <v>3.1248604972992277E-4</v>
      </c>
      <c r="V88" s="4">
        <f t="shared" si="9"/>
        <v>6.4239828693790147E-4</v>
      </c>
      <c r="W88" s="4">
        <f t="shared" si="9"/>
        <v>5.3689216137444394E-4</v>
      </c>
      <c r="X88" s="4">
        <f t="shared" si="9"/>
        <v>5.8870985325861803E-4</v>
      </c>
      <c r="Y88" s="4">
        <f t="shared" si="9"/>
        <v>5.6006720806496785E-4</v>
      </c>
      <c r="Z88" s="4">
        <f t="shared" si="9"/>
        <v>2.3592999313658199E-4</v>
      </c>
      <c r="AA88" s="4">
        <f t="shared" si="9"/>
        <v>1.8462522532999941E-3</v>
      </c>
      <c r="AB88" s="4">
        <f t="shared" si="9"/>
        <v>7.592815625490914E-4</v>
      </c>
      <c r="AC88" s="4">
        <f t="shared" si="9"/>
        <v>6.2908907901358831E-4</v>
      </c>
      <c r="AD88" s="4">
        <f t="shared" si="9"/>
        <v>8.6299892125134845E-4</v>
      </c>
      <c r="AE88" s="4">
        <f t="shared" si="9"/>
        <v>1.4057636308866352E-3</v>
      </c>
      <c r="AF88" s="4">
        <f t="shared" si="9"/>
        <v>1.1749716874292188E-2</v>
      </c>
      <c r="AG88" s="4">
        <f t="shared" si="9"/>
        <v>2.9499250227390053E-4</v>
      </c>
      <c r="AH88" s="4">
        <f t="shared" si="9"/>
        <v>1.5154066341134872E-3</v>
      </c>
      <c r="AI88" s="4">
        <f t="shared" si="9"/>
        <v>2.8157969774736244E-3</v>
      </c>
      <c r="AJ88" s="4">
        <f t="shared" si="9"/>
        <v>4.389494476552783E-4</v>
      </c>
      <c r="AK88" s="4">
        <f t="shared" si="9"/>
        <v>1.8519292089616665E-3</v>
      </c>
      <c r="AL88" s="4">
        <f t="shared" si="9"/>
        <v>2.0043762214167599E-4</v>
      </c>
      <c r="AM88" s="4">
        <f t="shared" si="9"/>
        <v>4.6487603305785124E-4</v>
      </c>
      <c r="AN88" s="4">
        <f t="shared" si="9"/>
        <v>6.1153448113651328E-4</v>
      </c>
      <c r="AO88" s="4">
        <f t="shared" si="9"/>
        <v>3.6457583794192831E-3</v>
      </c>
      <c r="AP88" s="4">
        <f t="shared" si="9"/>
        <v>1.2086003595332161E-3</v>
      </c>
      <c r="AQ88" s="4">
        <f t="shared" si="9"/>
        <v>1.6363899993785862E-3</v>
      </c>
      <c r="AR88" s="4">
        <f t="shared" si="9"/>
        <v>7.7414360363847496E-4</v>
      </c>
      <c r="AS88" s="4">
        <f t="shared" si="9"/>
        <v>9.3482905982905987E-4</v>
      </c>
      <c r="AT88" s="12">
        <f t="shared" si="9"/>
        <v>0</v>
      </c>
    </row>
    <row r="89" spans="1:46" x14ac:dyDescent="0.25">
      <c r="A89" s="18" t="s">
        <v>77</v>
      </c>
      <c r="B89" s="22">
        <f t="shared" si="5"/>
        <v>3.4874666182561713E-4</v>
      </c>
      <c r="C89" s="4">
        <f t="shared" si="9"/>
        <v>2.8632784538296352E-3</v>
      </c>
      <c r="D89" s="4">
        <f t="shared" si="9"/>
        <v>0</v>
      </c>
      <c r="E89" s="4">
        <f t="shared" si="9"/>
        <v>7.0775415451688702E-4</v>
      </c>
      <c r="F89" s="4">
        <f t="shared" si="9"/>
        <v>1.4747449920117978E-3</v>
      </c>
      <c r="G89" s="4">
        <f t="shared" si="9"/>
        <v>7.4846071287352437E-4</v>
      </c>
      <c r="H89" s="4">
        <f t="shared" si="9"/>
        <v>1.0766165316878776E-3</v>
      </c>
      <c r="I89" s="4">
        <f t="shared" si="9"/>
        <v>8.0337417152038571E-4</v>
      </c>
      <c r="J89" s="4">
        <f t="shared" si="9"/>
        <v>9.5374344301382924E-4</v>
      </c>
      <c r="K89" s="4">
        <f t="shared" si="9"/>
        <v>0</v>
      </c>
      <c r="L89" s="4">
        <f t="shared" si="9"/>
        <v>1.3362761437172501E-3</v>
      </c>
      <c r="M89" s="4">
        <f t="shared" si="9"/>
        <v>2.0048115477145148E-3</v>
      </c>
      <c r="N89" s="4">
        <f t="shared" si="9"/>
        <v>1.3771186440677966E-3</v>
      </c>
      <c r="O89" s="4">
        <f t="shared" si="9"/>
        <v>1.2440905697934811E-3</v>
      </c>
      <c r="P89" s="4">
        <f t="shared" si="9"/>
        <v>6.0177523694899952E-4</v>
      </c>
      <c r="Q89" s="4">
        <f t="shared" si="9"/>
        <v>2.056555269922879E-3</v>
      </c>
      <c r="R89" s="4">
        <f t="shared" si="9"/>
        <v>1.2410027302060065E-3</v>
      </c>
      <c r="S89" s="4">
        <f t="shared" si="9"/>
        <v>1.4196479273140261E-3</v>
      </c>
      <c r="T89" s="4">
        <f t="shared" si="9"/>
        <v>2.3825731790333557E-3</v>
      </c>
      <c r="U89" s="4">
        <f t="shared" si="9"/>
        <v>1.1829829025489934E-3</v>
      </c>
      <c r="V89" s="4">
        <f t="shared" si="9"/>
        <v>9.6359743040685224E-3</v>
      </c>
      <c r="W89" s="4">
        <f t="shared" si="9"/>
        <v>1.2271820831415863E-3</v>
      </c>
      <c r="X89" s="4">
        <f t="shared" si="9"/>
        <v>4.7968951006257767E-4</v>
      </c>
      <c r="Y89" s="4">
        <f t="shared" si="9"/>
        <v>5.6006720806496785E-4</v>
      </c>
      <c r="Z89" s="4">
        <f t="shared" si="9"/>
        <v>3.0742393045069775E-4</v>
      </c>
      <c r="AA89" s="4">
        <f t="shared" si="9"/>
        <v>8.3590161074606028E-4</v>
      </c>
      <c r="AB89" s="4">
        <f t="shared" si="9"/>
        <v>9.6873854532125464E-4</v>
      </c>
      <c r="AC89" s="4">
        <f t="shared" si="9"/>
        <v>1.1323603422244591E-3</v>
      </c>
      <c r="AD89" s="4">
        <f t="shared" si="9"/>
        <v>4.0273282991729591E-3</v>
      </c>
      <c r="AE89" s="4">
        <f t="shared" si="9"/>
        <v>1.0543227231649764E-3</v>
      </c>
      <c r="AF89" s="4">
        <f t="shared" si="9"/>
        <v>9.7678369195923001E-3</v>
      </c>
      <c r="AG89" s="4">
        <f t="shared" si="9"/>
        <v>3.8103198210378817E-3</v>
      </c>
      <c r="AH89" s="4">
        <f t="shared" si="9"/>
        <v>2.3825559858562047E-2</v>
      </c>
      <c r="AI89" s="4">
        <f t="shared" si="9"/>
        <v>1.2332477901340178E-2</v>
      </c>
      <c r="AJ89" s="4">
        <f t="shared" si="9"/>
        <v>2.1215889970005119E-3</v>
      </c>
      <c r="AK89" s="4">
        <f t="shared" si="9"/>
        <v>7.6305053121127307E-3</v>
      </c>
      <c r="AL89" s="4">
        <f t="shared" si="9"/>
        <v>5.8460973124655499E-4</v>
      </c>
      <c r="AM89" s="4">
        <f t="shared" si="9"/>
        <v>2.1177685950413221E-3</v>
      </c>
      <c r="AN89" s="4">
        <f t="shared" si="9"/>
        <v>3.5280835450183456E-3</v>
      </c>
      <c r="AO89" s="4">
        <f t="shared" si="9"/>
        <v>1.75297931100649E-2</v>
      </c>
      <c r="AP89" s="4">
        <f t="shared" si="9"/>
        <v>4.4789307441525069E-3</v>
      </c>
      <c r="AQ89" s="4">
        <f t="shared" si="9"/>
        <v>4.8677424032147814E-3</v>
      </c>
      <c r="AR89" s="4">
        <f t="shared" si="9"/>
        <v>5.6125411263789424E-3</v>
      </c>
      <c r="AS89" s="4">
        <f t="shared" si="9"/>
        <v>8.9476495726495738E-3</v>
      </c>
      <c r="AT89" s="12">
        <f t="shared" si="9"/>
        <v>0</v>
      </c>
    </row>
    <row r="90" spans="1:46" x14ac:dyDescent="0.25">
      <c r="A90" s="18" t="s">
        <v>78</v>
      </c>
      <c r="B90" s="22">
        <f t="shared" si="5"/>
        <v>6.2105569914151003E-5</v>
      </c>
      <c r="C90" s="4">
        <f t="shared" si="9"/>
        <v>3.2537255157154944E-4</v>
      </c>
      <c r="D90" s="4">
        <f t="shared" si="9"/>
        <v>0</v>
      </c>
      <c r="E90" s="4">
        <f t="shared" si="9"/>
        <v>1.415508309033774E-3</v>
      </c>
      <c r="F90" s="4">
        <f t="shared" si="9"/>
        <v>2.4579083200196631E-4</v>
      </c>
      <c r="G90" s="4">
        <f t="shared" si="9"/>
        <v>1.8499689318194656E-3</v>
      </c>
      <c r="H90" s="4">
        <f t="shared" si="9"/>
        <v>3.2619874019796892E-3</v>
      </c>
      <c r="I90" s="4">
        <f t="shared" si="9"/>
        <v>1.0042177144004821E-3</v>
      </c>
      <c r="J90" s="4">
        <f t="shared" si="9"/>
        <v>1.8121125417262757E-3</v>
      </c>
      <c r="K90" s="4">
        <f t="shared" si="9"/>
        <v>0</v>
      </c>
      <c r="L90" s="4">
        <f t="shared" si="9"/>
        <v>1.5765055628124858E-3</v>
      </c>
      <c r="M90" s="4">
        <f t="shared" si="9"/>
        <v>3.0072173215717722E-3</v>
      </c>
      <c r="N90" s="4">
        <f t="shared" si="9"/>
        <v>5.5084745762711863E-3</v>
      </c>
      <c r="O90" s="4">
        <f t="shared" si="9"/>
        <v>6.158248320477731E-3</v>
      </c>
      <c r="P90" s="4">
        <f t="shared" si="9"/>
        <v>1.5044380923724988E-3</v>
      </c>
      <c r="Q90" s="4">
        <f t="shared" si="9"/>
        <v>1.4995715509854327E-3</v>
      </c>
      <c r="R90" s="4">
        <f t="shared" si="9"/>
        <v>2.3579051873914123E-3</v>
      </c>
      <c r="S90" s="4">
        <f t="shared" si="9"/>
        <v>2.5837592277115273E-3</v>
      </c>
      <c r="T90" s="4">
        <f t="shared" si="9"/>
        <v>2.0422055820285907E-3</v>
      </c>
      <c r="U90" s="4">
        <f t="shared" si="9"/>
        <v>8.0353555644837292E-4</v>
      </c>
      <c r="V90" s="4">
        <f t="shared" si="9"/>
        <v>2.3554603854389722E-3</v>
      </c>
      <c r="W90" s="4">
        <f t="shared" si="9"/>
        <v>1.1504832029452371E-3</v>
      </c>
      <c r="X90" s="4">
        <f t="shared" si="9"/>
        <v>4.3608137278416149E-3</v>
      </c>
      <c r="Y90" s="4">
        <f t="shared" si="9"/>
        <v>4.3405208625035005E-3</v>
      </c>
      <c r="Z90" s="4">
        <f t="shared" si="9"/>
        <v>5.6480210478151451E-4</v>
      </c>
      <c r="AA90" s="4">
        <f t="shared" si="9"/>
        <v>1.8317148339826712E-3</v>
      </c>
      <c r="AB90" s="4">
        <f t="shared" si="9"/>
        <v>5.4982457977692837E-4</v>
      </c>
      <c r="AC90" s="4">
        <f t="shared" si="9"/>
        <v>5.0327126321087076E-4</v>
      </c>
      <c r="AD90" s="4">
        <f t="shared" si="9"/>
        <v>1.5821646889608056E-3</v>
      </c>
      <c r="AE90" s="4">
        <f t="shared" si="9"/>
        <v>7.0288181544331761E-4</v>
      </c>
      <c r="AF90" s="4">
        <f t="shared" si="9"/>
        <v>8.4937712344280861E-4</v>
      </c>
      <c r="AG90" s="4">
        <f t="shared" si="9"/>
        <v>2.1141129329629539E-3</v>
      </c>
      <c r="AH90" s="4">
        <f t="shared" si="9"/>
        <v>6.9624515911769658E-2</v>
      </c>
      <c r="AI90" s="4">
        <f t="shared" si="9"/>
        <v>1.6395779868833759E-3</v>
      </c>
      <c r="AJ90" s="4">
        <f t="shared" si="9"/>
        <v>1.316848342965835E-3</v>
      </c>
      <c r="AK90" s="4">
        <f t="shared" si="9"/>
        <v>9.6077530389740602E-4</v>
      </c>
      <c r="AL90" s="4">
        <f t="shared" si="9"/>
        <v>1.8373448696320301E-4</v>
      </c>
      <c r="AM90" s="4">
        <f t="shared" si="9"/>
        <v>3.5898760330578513E-3</v>
      </c>
      <c r="AN90" s="4">
        <f t="shared" si="9"/>
        <v>7.526578229372471E-4</v>
      </c>
      <c r="AO90" s="4">
        <f t="shared" si="9"/>
        <v>1.4939385840477513E-3</v>
      </c>
      <c r="AP90" s="4">
        <f t="shared" si="9"/>
        <v>2.9554849128081168E-3</v>
      </c>
      <c r="AQ90" s="4">
        <f t="shared" si="9"/>
        <v>1.8642417714439588E-3</v>
      </c>
      <c r="AR90" s="4">
        <f t="shared" si="9"/>
        <v>9.0961873427520806E-3</v>
      </c>
      <c r="AS90" s="4">
        <f t="shared" si="9"/>
        <v>4.0064102564102569E-3</v>
      </c>
      <c r="AT90" s="12">
        <f t="shared" si="9"/>
        <v>0</v>
      </c>
    </row>
    <row r="91" spans="1:46" x14ac:dyDescent="0.25">
      <c r="A91" s="18" t="s">
        <v>79</v>
      </c>
      <c r="B91" s="22">
        <f t="shared" ref="B91:Q102" si="10">B35/B$51</f>
        <v>3.9652017714419485E-4</v>
      </c>
      <c r="C91" s="4">
        <f t="shared" si="9"/>
        <v>7.1581961345740881E-4</v>
      </c>
      <c r="D91" s="4">
        <f t="shared" si="9"/>
        <v>0</v>
      </c>
      <c r="E91" s="4">
        <f t="shared" si="9"/>
        <v>3.3972199416810572E-4</v>
      </c>
      <c r="F91" s="4">
        <f t="shared" si="9"/>
        <v>1.5976404080127811E-3</v>
      </c>
      <c r="G91" s="4">
        <f t="shared" si="9"/>
        <v>5.8370521003972965E-4</v>
      </c>
      <c r="H91" s="4">
        <f t="shared" si="9"/>
        <v>1.1408921455199896E-3</v>
      </c>
      <c r="I91" s="4">
        <f t="shared" si="9"/>
        <v>1.0042177144004821E-3</v>
      </c>
      <c r="J91" s="4">
        <f t="shared" si="9"/>
        <v>1.239866475917978E-3</v>
      </c>
      <c r="K91" s="4">
        <f t="shared" si="9"/>
        <v>0</v>
      </c>
      <c r="L91" s="4">
        <f t="shared" si="9"/>
        <v>9.7593201507439604E-4</v>
      </c>
      <c r="M91" s="4">
        <f t="shared" si="9"/>
        <v>1.553728949478749E-3</v>
      </c>
      <c r="N91" s="4">
        <f t="shared" si="9"/>
        <v>9.5338983050847462E-4</v>
      </c>
      <c r="O91" s="4">
        <f t="shared" si="9"/>
        <v>1.0263747200796218E-3</v>
      </c>
      <c r="P91" s="4">
        <f t="shared" si="9"/>
        <v>2.5073968206208318E-4</v>
      </c>
      <c r="Q91" s="4">
        <f t="shared" si="9"/>
        <v>1.585261353898886E-3</v>
      </c>
      <c r="R91" s="4">
        <f t="shared" si="9"/>
        <v>1.737403822288409E-3</v>
      </c>
      <c r="S91" s="4">
        <f t="shared" si="9"/>
        <v>1.2776831345826234E-3</v>
      </c>
      <c r="T91" s="4">
        <f t="shared" si="9"/>
        <v>1.7018379850238256E-3</v>
      </c>
      <c r="U91" s="4">
        <f t="shared" si="9"/>
        <v>9.3745814918976835E-4</v>
      </c>
      <c r="V91" s="4">
        <f t="shared" si="9"/>
        <v>1.9271948608137045E-3</v>
      </c>
      <c r="W91" s="4">
        <f t="shared" si="9"/>
        <v>1.9941708851050777E-3</v>
      </c>
      <c r="X91" s="4">
        <f t="shared" si="9"/>
        <v>1.7661295597758541E-3</v>
      </c>
      <c r="Y91" s="4">
        <f t="shared" si="9"/>
        <v>1.5401848221786615E-3</v>
      </c>
      <c r="Z91" s="4">
        <f t="shared" si="9"/>
        <v>1.0223633035918553E-3</v>
      </c>
      <c r="AA91" s="4">
        <f t="shared" si="9"/>
        <v>4.7246612781299061E-3</v>
      </c>
      <c r="AB91" s="4">
        <f t="shared" si="9"/>
        <v>3.3251296015080899E-3</v>
      </c>
      <c r="AC91" s="4">
        <f t="shared" si="9"/>
        <v>2.6421741318570714E-3</v>
      </c>
      <c r="AD91" s="4">
        <f t="shared" si="9"/>
        <v>4.890327220424308E-3</v>
      </c>
      <c r="AE91" s="4">
        <f t="shared" si="9"/>
        <v>4.3177025805803794E-3</v>
      </c>
      <c r="AF91" s="4">
        <f t="shared" si="9"/>
        <v>1.5571913929784825E-3</v>
      </c>
      <c r="AG91" s="4">
        <f t="shared" si="9"/>
        <v>1.5978760539836279E-3</v>
      </c>
      <c r="AH91" s="4">
        <f t="shared" si="9"/>
        <v>9.5975753493854187E-3</v>
      </c>
      <c r="AI91" s="4">
        <f t="shared" si="9"/>
        <v>1.2403763900769887E-2</v>
      </c>
      <c r="AJ91" s="4">
        <f t="shared" si="9"/>
        <v>2.7068549272075497E-3</v>
      </c>
      <c r="AK91" s="4">
        <f t="shared" si="9"/>
        <v>5.277302031552418E-3</v>
      </c>
      <c r="AL91" s="4">
        <f t="shared" si="9"/>
        <v>4.84390920175717E-4</v>
      </c>
      <c r="AM91" s="4">
        <f t="shared" si="9"/>
        <v>1.5237603305785126E-3</v>
      </c>
      <c r="AN91" s="4">
        <f t="shared" si="9"/>
        <v>1.5053156458744942E-3</v>
      </c>
      <c r="AO91" s="4">
        <f t="shared" si="9"/>
        <v>1.0162894129095483E-2</v>
      </c>
      <c r="AP91" s="4">
        <f t="shared" si="9"/>
        <v>4.2656483277642926E-3</v>
      </c>
      <c r="AQ91" s="4">
        <f t="shared" si="9"/>
        <v>6.5248462000538562E-3</v>
      </c>
      <c r="AR91" s="4">
        <f t="shared" si="9"/>
        <v>2.9030385136442809E-3</v>
      </c>
      <c r="AS91" s="4">
        <f t="shared" si="9"/>
        <v>2.5373931623931625E-3</v>
      </c>
      <c r="AT91" s="12">
        <f t="shared" si="9"/>
        <v>0</v>
      </c>
    </row>
    <row r="92" spans="1:46" x14ac:dyDescent="0.25">
      <c r="A92" s="18" t="s">
        <v>80</v>
      </c>
      <c r="B92" s="22">
        <f t="shared" si="10"/>
        <v>5.2550866850435464E-5</v>
      </c>
      <c r="C92" s="4">
        <f t="shared" si="9"/>
        <v>6.5074510314309887E-5</v>
      </c>
      <c r="D92" s="4">
        <f t="shared" si="9"/>
        <v>0</v>
      </c>
      <c r="E92" s="4">
        <f t="shared" si="9"/>
        <v>1.0191659825043173E-3</v>
      </c>
      <c r="F92" s="4">
        <f t="shared" si="9"/>
        <v>1.8434312400147474E-3</v>
      </c>
      <c r="G92" s="4">
        <f t="shared" si="9"/>
        <v>1.0497279180553202E-3</v>
      </c>
      <c r="H92" s="4">
        <f t="shared" si="9"/>
        <v>1.6068903458028025E-3</v>
      </c>
      <c r="I92" s="4">
        <f t="shared" si="9"/>
        <v>6.0253062864028923E-4</v>
      </c>
      <c r="J92" s="4">
        <f t="shared" si="9"/>
        <v>3.3381020505484026E-3</v>
      </c>
      <c r="K92" s="4">
        <f t="shared" si="9"/>
        <v>0</v>
      </c>
      <c r="L92" s="4">
        <f t="shared" si="9"/>
        <v>1.216161434169632E-3</v>
      </c>
      <c r="M92" s="4">
        <f t="shared" si="9"/>
        <v>2.305533279871692E-3</v>
      </c>
      <c r="N92" s="4">
        <f t="shared" si="9"/>
        <v>7.4152542372881347E-4</v>
      </c>
      <c r="O92" s="4">
        <f t="shared" si="9"/>
        <v>1.6173177407315254E-3</v>
      </c>
      <c r="P92" s="4">
        <f t="shared" si="9"/>
        <v>9.0266285542349944E-4</v>
      </c>
      <c r="Q92" s="4">
        <f t="shared" si="9"/>
        <v>1.5424164524421595E-3</v>
      </c>
      <c r="R92" s="4">
        <f t="shared" si="9"/>
        <v>4.964010920824026E-3</v>
      </c>
      <c r="S92" s="4">
        <f t="shared" si="9"/>
        <v>3.26519023282226E-3</v>
      </c>
      <c r="T92" s="4">
        <f t="shared" si="9"/>
        <v>1.3614703880190607E-3</v>
      </c>
      <c r="U92" s="4">
        <f t="shared" si="9"/>
        <v>2.8123744475693048E-3</v>
      </c>
      <c r="V92" s="4">
        <f t="shared" si="9"/>
        <v>5.5674518201284801E-3</v>
      </c>
      <c r="W92" s="4">
        <f t="shared" si="9"/>
        <v>2.4543641662831727E-3</v>
      </c>
      <c r="X92" s="4">
        <f t="shared" si="9"/>
        <v>2.5946841680657608E-3</v>
      </c>
      <c r="Y92" s="4">
        <f t="shared" si="9"/>
        <v>1.8202184262111453E-3</v>
      </c>
      <c r="Z92" s="4">
        <f t="shared" si="9"/>
        <v>6.505948295584534E-4</v>
      </c>
      <c r="AA92" s="4">
        <f t="shared" si="9"/>
        <v>2.747572250974007E-3</v>
      </c>
      <c r="AB92" s="4">
        <f t="shared" si="9"/>
        <v>8.037911713881761E-3</v>
      </c>
      <c r="AC92" s="4">
        <f t="shared" si="9"/>
        <v>7.4232511323603428E-3</v>
      </c>
      <c r="AD92" s="4">
        <f t="shared" si="9"/>
        <v>2.5386551600143831E-2</v>
      </c>
      <c r="AE92" s="4">
        <f t="shared" si="9"/>
        <v>1.3003313585701375E-2</v>
      </c>
      <c r="AF92" s="4">
        <f t="shared" si="9"/>
        <v>7.3612684031710085E-3</v>
      </c>
      <c r="AG92" s="4">
        <f t="shared" si="9"/>
        <v>1.7945377221662282E-3</v>
      </c>
      <c r="AH92" s="4">
        <f t="shared" si="9"/>
        <v>2.1299882135039569E-2</v>
      </c>
      <c r="AI92" s="4">
        <f t="shared" si="9"/>
        <v>1.6360136869118906E-2</v>
      </c>
      <c r="AJ92" s="4">
        <f t="shared" si="9"/>
        <v>1.6094813080693538E-2</v>
      </c>
      <c r="AK92" s="4">
        <f t="shared" si="9"/>
        <v>1.2197669075567066E-2</v>
      </c>
      <c r="AL92" s="4">
        <f t="shared" si="9"/>
        <v>4.5098464981877103E-4</v>
      </c>
      <c r="AM92" s="4">
        <f t="shared" si="9"/>
        <v>2.7117768595041323E-3</v>
      </c>
      <c r="AN92" s="4">
        <f t="shared" si="9"/>
        <v>2.1638912409445853E-3</v>
      </c>
      <c r="AO92" s="4">
        <f t="shared" si="9"/>
        <v>6.996840799599789E-3</v>
      </c>
      <c r="AP92" s="4">
        <f t="shared" si="9"/>
        <v>3.9508028559531181E-3</v>
      </c>
      <c r="AQ92" s="4">
        <f t="shared" si="9"/>
        <v>5.82057708639725E-3</v>
      </c>
      <c r="AR92" s="4">
        <f t="shared" si="9"/>
        <v>6.5802206309270358E-3</v>
      </c>
      <c r="AS92" s="4">
        <f t="shared" si="9"/>
        <v>4.674145299145299E-3</v>
      </c>
      <c r="AT92" s="12">
        <f t="shared" si="9"/>
        <v>0</v>
      </c>
    </row>
    <row r="93" spans="1:46" x14ac:dyDescent="0.25">
      <c r="A93" s="18" t="s">
        <v>81</v>
      </c>
      <c r="B93" s="22">
        <f t="shared" si="10"/>
        <v>5.0209964599825145E-3</v>
      </c>
      <c r="C93" s="4">
        <f t="shared" si="9"/>
        <v>4.3990368972473479E-2</v>
      </c>
      <c r="D93" s="4">
        <f t="shared" si="9"/>
        <v>3.6231884057971015E-3</v>
      </c>
      <c r="E93" s="4">
        <f t="shared" si="9"/>
        <v>6.9359907142654926E-3</v>
      </c>
      <c r="F93" s="4">
        <f t="shared" si="9"/>
        <v>2.0031952808160256E-2</v>
      </c>
      <c r="G93" s="4">
        <f t="shared" si="9"/>
        <v>1.0591425182172515E-2</v>
      </c>
      <c r="H93" s="4">
        <f t="shared" si="9"/>
        <v>1.7772207224578996E-2</v>
      </c>
      <c r="I93" s="4">
        <f t="shared" si="9"/>
        <v>1.6067483430407713E-2</v>
      </c>
      <c r="J93" s="4">
        <f t="shared" si="9"/>
        <v>2.412970910824988E-2</v>
      </c>
      <c r="K93" s="4">
        <f t="shared" si="9"/>
        <v>1.7647058823529412E-2</v>
      </c>
      <c r="L93" s="4">
        <f t="shared" si="9"/>
        <v>8.5281443778808756E-3</v>
      </c>
      <c r="M93" s="4">
        <f t="shared" si="9"/>
        <v>1.0575380914194066E-2</v>
      </c>
      <c r="N93" s="4">
        <f t="shared" si="9"/>
        <v>3.0720338983050849E-2</v>
      </c>
      <c r="O93" s="4">
        <f t="shared" si="9"/>
        <v>1.2969644190097041E-2</v>
      </c>
      <c r="P93" s="4">
        <f t="shared" si="9"/>
        <v>3.1041572639285895E-2</v>
      </c>
      <c r="Q93" s="4">
        <f t="shared" si="9"/>
        <v>2.9862896315338477E-2</v>
      </c>
      <c r="R93" s="4">
        <f t="shared" si="9"/>
        <v>1.5760734673616283E-2</v>
      </c>
      <c r="S93" s="4">
        <f t="shared" si="9"/>
        <v>1.6155593412833617E-2</v>
      </c>
      <c r="T93" s="4">
        <f t="shared" si="9"/>
        <v>1.5316541865214431E-2</v>
      </c>
      <c r="U93" s="4">
        <f t="shared" si="9"/>
        <v>3.3324405160483912E-2</v>
      </c>
      <c r="V93" s="4">
        <f t="shared" si="9"/>
        <v>2.0556745182012847E-2</v>
      </c>
      <c r="W93" s="4">
        <f t="shared" si="9"/>
        <v>2.8071790151863785E-2</v>
      </c>
      <c r="X93" s="4">
        <f t="shared" si="9"/>
        <v>7.0623378322394945E-2</v>
      </c>
      <c r="Y93" s="4">
        <f t="shared" si="9"/>
        <v>4.9145897507700924E-2</v>
      </c>
      <c r="Z93" s="4">
        <f t="shared" si="9"/>
        <v>4.6692690459849001E-2</v>
      </c>
      <c r="AA93" s="4">
        <f t="shared" si="9"/>
        <v>4.7057626330173866E-2</v>
      </c>
      <c r="AB93" s="4">
        <f t="shared" si="9"/>
        <v>2.2673718385086659E-2</v>
      </c>
      <c r="AC93" s="4">
        <f t="shared" si="9"/>
        <v>2.7302466029189735E-2</v>
      </c>
      <c r="AD93" s="4">
        <f t="shared" si="9"/>
        <v>3.7971952535059326E-2</v>
      </c>
      <c r="AE93" s="4">
        <f t="shared" si="9"/>
        <v>2.3446129129430667E-2</v>
      </c>
      <c r="AF93" s="4">
        <f t="shared" si="9"/>
        <v>4.4592298980747451E-2</v>
      </c>
      <c r="AG93" s="4">
        <f t="shared" si="9"/>
        <v>3.9430664470611373E-2</v>
      </c>
      <c r="AH93" s="4">
        <f t="shared" si="9"/>
        <v>2.7024751641690523E-2</v>
      </c>
      <c r="AI93" s="4">
        <f t="shared" si="9"/>
        <v>5.5888223552894217E-2</v>
      </c>
      <c r="AJ93" s="4">
        <f t="shared" si="9"/>
        <v>4.8723388689735893E-2</v>
      </c>
      <c r="AK93" s="4">
        <f t="shared" si="9"/>
        <v>0.17087876129607196</v>
      </c>
      <c r="AL93" s="4">
        <f t="shared" si="9"/>
        <v>8.4935442382535212E-2</v>
      </c>
      <c r="AM93" s="4">
        <f t="shared" si="9"/>
        <v>6.1466942148760334E-2</v>
      </c>
      <c r="AN93" s="4">
        <f t="shared" si="9"/>
        <v>9.5916831310565429E-2</v>
      </c>
      <c r="AO93" s="4">
        <f t="shared" si="9"/>
        <v>3.4833439553737244E-2</v>
      </c>
      <c r="AP93" s="4">
        <f t="shared" si="9"/>
        <v>4.2961172443911795E-3</v>
      </c>
      <c r="AQ93" s="4">
        <f t="shared" si="9"/>
        <v>7.0426911365660668E-3</v>
      </c>
      <c r="AR93" s="4">
        <f t="shared" ref="AR93:AT93" si="11">AR37/AR$51</f>
        <v>1.1805689955486741E-2</v>
      </c>
      <c r="AS93" s="4">
        <f t="shared" si="11"/>
        <v>1.201923076923077E-2</v>
      </c>
      <c r="AT93" s="12">
        <f t="shared" si="11"/>
        <v>0</v>
      </c>
    </row>
    <row r="94" spans="1:46" x14ac:dyDescent="0.25">
      <c r="A94" s="18" t="s">
        <v>82</v>
      </c>
      <c r="B94" s="22">
        <f t="shared" si="10"/>
        <v>4.7773515318577691E-5</v>
      </c>
      <c r="C94" s="4">
        <f t="shared" si="10"/>
        <v>6.5074510314309887E-5</v>
      </c>
      <c r="D94" s="4">
        <f t="shared" si="10"/>
        <v>0</v>
      </c>
      <c r="E94" s="4">
        <f t="shared" si="10"/>
        <v>1.6419896384791777E-3</v>
      </c>
      <c r="F94" s="4">
        <f t="shared" si="10"/>
        <v>6.1447708000491577E-4</v>
      </c>
      <c r="G94" s="4">
        <f t="shared" si="10"/>
        <v>2.0147244346532603E-3</v>
      </c>
      <c r="H94" s="4">
        <f t="shared" si="10"/>
        <v>3.0691605604833529E-3</v>
      </c>
      <c r="I94" s="4">
        <f t="shared" si="10"/>
        <v>1.2050612572805785E-3</v>
      </c>
      <c r="J94" s="4">
        <f t="shared" si="10"/>
        <v>4.6733428707677639E-3</v>
      </c>
      <c r="K94" s="4">
        <f t="shared" si="10"/>
        <v>0</v>
      </c>
      <c r="L94" s="4">
        <f t="shared" si="10"/>
        <v>1.5164482080386769E-3</v>
      </c>
      <c r="M94" s="4">
        <f t="shared" si="10"/>
        <v>2.5561347233360064E-3</v>
      </c>
      <c r="N94" s="4">
        <f t="shared" si="10"/>
        <v>1.3771186440677966E-3</v>
      </c>
      <c r="O94" s="4">
        <f t="shared" si="10"/>
        <v>2.9858173675043542E-3</v>
      </c>
      <c r="P94" s="4">
        <f t="shared" si="10"/>
        <v>8.0236698259866616E-4</v>
      </c>
      <c r="Q94" s="4">
        <f t="shared" si="10"/>
        <v>2.4850042844901457E-3</v>
      </c>
      <c r="R94" s="4">
        <f t="shared" ref="C94:AT100" si="12">R38/R$51</f>
        <v>2.7302060064532145E-3</v>
      </c>
      <c r="S94" s="4">
        <f t="shared" si="12"/>
        <v>3.2367972742759796E-3</v>
      </c>
      <c r="T94" s="4">
        <f t="shared" si="12"/>
        <v>2.0422055820285907E-3</v>
      </c>
      <c r="U94" s="4">
        <f t="shared" si="12"/>
        <v>2.6561314227043437E-3</v>
      </c>
      <c r="V94" s="4">
        <f t="shared" si="12"/>
        <v>4.0685224839400423E-3</v>
      </c>
      <c r="W94" s="4">
        <f t="shared" si="12"/>
        <v>3.9116428900138056E-3</v>
      </c>
      <c r="X94" s="4">
        <f t="shared" si="12"/>
        <v>2.3766434816736804E-3</v>
      </c>
      <c r="Y94" s="4">
        <f t="shared" si="12"/>
        <v>2.1002520302436292E-3</v>
      </c>
      <c r="Z94" s="4">
        <f t="shared" si="12"/>
        <v>2.0375772134522993E-3</v>
      </c>
      <c r="AA94" s="4">
        <f t="shared" si="12"/>
        <v>1.0147118683491305E-2</v>
      </c>
      <c r="AB94" s="4">
        <f t="shared" si="12"/>
        <v>1.3483793265958003E-2</v>
      </c>
      <c r="AC94" s="4">
        <f t="shared" si="12"/>
        <v>9.1847005535983899E-3</v>
      </c>
      <c r="AD94" s="4">
        <f t="shared" si="12"/>
        <v>2.5242718446601944E-2</v>
      </c>
      <c r="AE94" s="4">
        <f t="shared" si="12"/>
        <v>2.7060949894567726E-2</v>
      </c>
      <c r="AF94" s="4">
        <f t="shared" si="12"/>
        <v>9.9093997734994339E-3</v>
      </c>
      <c r="AG94" s="4">
        <f t="shared" si="12"/>
        <v>1.1357211337545171E-2</v>
      </c>
      <c r="AH94" s="4">
        <f t="shared" si="12"/>
        <v>2.4583263175618791E-2</v>
      </c>
      <c r="AI94" s="4">
        <f t="shared" si="12"/>
        <v>1.4649272882805818E-2</v>
      </c>
      <c r="AJ94" s="4">
        <f t="shared" si="12"/>
        <v>3.7310703050698656E-3</v>
      </c>
      <c r="AK94" s="4">
        <f t="shared" si="12"/>
        <v>1.0317891307072141E-2</v>
      </c>
      <c r="AL94" s="4">
        <f t="shared" si="12"/>
        <v>3.240408224623762E-3</v>
      </c>
      <c r="AM94" s="4">
        <f t="shared" si="12"/>
        <v>3.796487603305785E-3</v>
      </c>
      <c r="AN94" s="4">
        <f t="shared" si="12"/>
        <v>4.5629880515570603E-3</v>
      </c>
      <c r="AO94" s="4">
        <f t="shared" si="12"/>
        <v>7.7026925159159295E-3</v>
      </c>
      <c r="AP94" s="4">
        <f t="shared" si="12"/>
        <v>8.0133250728714918E-3</v>
      </c>
      <c r="AQ94" s="4">
        <f t="shared" si="12"/>
        <v>1.0543322907388611E-2</v>
      </c>
      <c r="AR94" s="4">
        <f t="shared" si="12"/>
        <v>1.4321656667311786E-2</v>
      </c>
      <c r="AS94" s="4">
        <f t="shared" si="12"/>
        <v>1.2553418803418804E-2</v>
      </c>
      <c r="AT94" s="12">
        <f t="shared" si="12"/>
        <v>0</v>
      </c>
    </row>
    <row r="95" spans="1:46" x14ac:dyDescent="0.25">
      <c r="A95" s="18" t="s">
        <v>83</v>
      </c>
      <c r="B95" s="22">
        <f t="shared" si="10"/>
        <v>2.2931287352917289E-4</v>
      </c>
      <c r="C95" s="4">
        <f t="shared" si="12"/>
        <v>3.2537255157154944E-4</v>
      </c>
      <c r="D95" s="4">
        <f t="shared" si="12"/>
        <v>0</v>
      </c>
      <c r="E95" s="4">
        <f t="shared" si="12"/>
        <v>6.4830280553746841E-3</v>
      </c>
      <c r="F95" s="4">
        <f t="shared" si="12"/>
        <v>3.6254147720290029E-2</v>
      </c>
      <c r="G95" s="4">
        <f t="shared" si="12"/>
        <v>8.5249204466286317E-3</v>
      </c>
      <c r="H95" s="4">
        <f t="shared" si="12"/>
        <v>6.9578351973261345E-3</v>
      </c>
      <c r="I95" s="4">
        <f t="shared" si="12"/>
        <v>3.6151837718417356E-3</v>
      </c>
      <c r="J95" s="4">
        <f t="shared" si="12"/>
        <v>1.4878397711015736E-2</v>
      </c>
      <c r="K95" s="4">
        <f t="shared" si="12"/>
        <v>5.8823529411764705E-3</v>
      </c>
      <c r="L95" s="4">
        <f t="shared" si="12"/>
        <v>8.8734741678302784E-3</v>
      </c>
      <c r="M95" s="4">
        <f t="shared" si="12"/>
        <v>2.0198476343223734E-2</v>
      </c>
      <c r="N95" s="4">
        <f t="shared" si="12"/>
        <v>4.7669491525423732E-3</v>
      </c>
      <c r="O95" s="4">
        <f t="shared" si="12"/>
        <v>1.0014929086837524E-2</v>
      </c>
      <c r="P95" s="4">
        <f t="shared" si="12"/>
        <v>4.5634622135299133E-3</v>
      </c>
      <c r="Q95" s="4">
        <f t="shared" si="12"/>
        <v>8.1405312767780635E-3</v>
      </c>
      <c r="R95" s="4">
        <f t="shared" si="12"/>
        <v>1.2410027302060065E-2</v>
      </c>
      <c r="S95" s="4">
        <f t="shared" si="12"/>
        <v>1.6609880749574105E-2</v>
      </c>
      <c r="T95" s="4">
        <f t="shared" si="12"/>
        <v>7.8284547311095968E-3</v>
      </c>
      <c r="U95" s="4">
        <f t="shared" si="12"/>
        <v>1.4932369090665597E-2</v>
      </c>
      <c r="V95" s="4">
        <f t="shared" si="12"/>
        <v>2.226980728051392E-2</v>
      </c>
      <c r="W95" s="4">
        <f t="shared" si="12"/>
        <v>1.6566958122411414E-2</v>
      </c>
      <c r="X95" s="4">
        <f t="shared" si="12"/>
        <v>1.0335128534984627E-2</v>
      </c>
      <c r="Y95" s="4">
        <f t="shared" si="12"/>
        <v>6.020722486698403E-3</v>
      </c>
      <c r="Z95" s="4">
        <f t="shared" si="12"/>
        <v>8.9653397391901164E-3</v>
      </c>
      <c r="AA95" s="4">
        <f t="shared" si="12"/>
        <v>1.8796883177298367E-2</v>
      </c>
      <c r="AB95" s="4">
        <f t="shared" si="12"/>
        <v>3.2046918364140968E-2</v>
      </c>
      <c r="AC95" s="4">
        <f t="shared" si="12"/>
        <v>3.6487166582788125E-2</v>
      </c>
      <c r="AD95" s="4">
        <f t="shared" si="12"/>
        <v>5.27148507731032E-2</v>
      </c>
      <c r="AE95" s="4">
        <f t="shared" si="12"/>
        <v>4.9302138768952709E-2</v>
      </c>
      <c r="AF95" s="4">
        <f t="shared" si="12"/>
        <v>1.5288788221970556E-2</v>
      </c>
      <c r="AG95" s="4">
        <f t="shared" si="12"/>
        <v>1.0644312790383243E-2</v>
      </c>
      <c r="AH95" s="4">
        <f t="shared" si="12"/>
        <v>7.1139922545883152E-2</v>
      </c>
      <c r="AI95" s="4">
        <f t="shared" si="12"/>
        <v>3.1187624750499004E-2</v>
      </c>
      <c r="AJ95" s="4">
        <f t="shared" si="12"/>
        <v>1.6899553734728217E-2</v>
      </c>
      <c r="AK95" s="4">
        <f t="shared" si="12"/>
        <v>2.8433379283456562E-2</v>
      </c>
      <c r="AL95" s="4">
        <f t="shared" si="12"/>
        <v>4.8272060665786971E-3</v>
      </c>
      <c r="AM95" s="4">
        <f t="shared" si="12"/>
        <v>3.3316115702479339E-2</v>
      </c>
      <c r="AN95" s="4">
        <f t="shared" si="12"/>
        <v>1.4159375294006961E-2</v>
      </c>
      <c r="AO95" s="4">
        <f t="shared" si="12"/>
        <v>1.7289940585103105E-2</v>
      </c>
      <c r="AP95" s="4">
        <f t="shared" si="12"/>
        <v>1.2289129706178081E-2</v>
      </c>
      <c r="AQ95" s="4">
        <f t="shared" si="12"/>
        <v>1.8953124676346914E-2</v>
      </c>
      <c r="AR95" s="4">
        <f t="shared" si="12"/>
        <v>3.5223533965550606E-2</v>
      </c>
      <c r="AS95" s="4">
        <f t="shared" si="12"/>
        <v>2.6442307692307696E-2</v>
      </c>
      <c r="AT95" s="12">
        <f t="shared" si="12"/>
        <v>0</v>
      </c>
    </row>
    <row r="96" spans="1:46" x14ac:dyDescent="0.25">
      <c r="A96" s="18" t="s">
        <v>84</v>
      </c>
      <c r="B96" s="22">
        <f t="shared" si="10"/>
        <v>1.2421113982830201E-4</v>
      </c>
      <c r="C96" s="4">
        <f t="shared" si="12"/>
        <v>1.9522353094292963E-4</v>
      </c>
      <c r="D96" s="4">
        <f t="shared" si="12"/>
        <v>0</v>
      </c>
      <c r="E96" s="4">
        <f t="shared" si="12"/>
        <v>3.9351130991138921E-3</v>
      </c>
      <c r="F96" s="4">
        <f t="shared" si="12"/>
        <v>1.3026914096104214E-2</v>
      </c>
      <c r="G96" s="4">
        <f t="shared" si="12"/>
        <v>3.5587188612099642E-3</v>
      </c>
      <c r="H96" s="4">
        <f t="shared" si="12"/>
        <v>3.2941252088957451E-3</v>
      </c>
      <c r="I96" s="4">
        <f t="shared" si="12"/>
        <v>1.8075918859208678E-3</v>
      </c>
      <c r="J96" s="4">
        <f t="shared" si="12"/>
        <v>7.8206962327133991E-3</v>
      </c>
      <c r="K96" s="4">
        <f t="shared" si="12"/>
        <v>0</v>
      </c>
      <c r="L96" s="4">
        <f t="shared" si="12"/>
        <v>3.663498641202348E-3</v>
      </c>
      <c r="M96" s="4">
        <f t="shared" si="12"/>
        <v>7.4178027265437048E-3</v>
      </c>
      <c r="N96" s="4">
        <f t="shared" si="12"/>
        <v>2.4364406779661014E-3</v>
      </c>
      <c r="O96" s="4">
        <f t="shared" si="12"/>
        <v>5.7539188852948498E-3</v>
      </c>
      <c r="P96" s="4">
        <f t="shared" si="12"/>
        <v>2.9587282483325814E-3</v>
      </c>
      <c r="Q96" s="4">
        <f t="shared" si="12"/>
        <v>4.4558697514995721E-3</v>
      </c>
      <c r="R96" s="4">
        <f t="shared" si="12"/>
        <v>6.8255150161330358E-3</v>
      </c>
      <c r="S96" s="4">
        <f t="shared" si="12"/>
        <v>7.6660988074957409E-3</v>
      </c>
      <c r="T96" s="4">
        <f t="shared" si="12"/>
        <v>3.7440435670524166E-3</v>
      </c>
      <c r="U96" s="4">
        <f t="shared" si="12"/>
        <v>7.7005490826302404E-3</v>
      </c>
      <c r="V96" s="4">
        <f t="shared" si="12"/>
        <v>1.1563169164882228E-2</v>
      </c>
      <c r="W96" s="4">
        <f t="shared" si="12"/>
        <v>9.4339622641509448E-3</v>
      </c>
      <c r="X96" s="4">
        <f t="shared" si="12"/>
        <v>5.3638008852451872E-3</v>
      </c>
      <c r="Y96" s="4">
        <f t="shared" si="12"/>
        <v>4.9005880705684677E-3</v>
      </c>
      <c r="Z96" s="4">
        <f t="shared" si="12"/>
        <v>3.2315259665980324E-3</v>
      </c>
      <c r="AA96" s="4">
        <f t="shared" si="12"/>
        <v>7.66121998022911E-3</v>
      </c>
      <c r="AB96" s="4">
        <f t="shared" si="12"/>
        <v>3.236110383829921E-2</v>
      </c>
      <c r="AC96" s="4">
        <f t="shared" si="12"/>
        <v>3.9129340714645196E-2</v>
      </c>
      <c r="AD96" s="4">
        <f t="shared" si="12"/>
        <v>8.6515641855447675E-2</v>
      </c>
      <c r="AE96" s="4">
        <f t="shared" si="12"/>
        <v>4.0265086856110056E-2</v>
      </c>
      <c r="AF96" s="4">
        <f t="shared" si="12"/>
        <v>1.7412231030577579E-2</v>
      </c>
      <c r="AG96" s="4">
        <f t="shared" si="12"/>
        <v>7.8173013102583646E-3</v>
      </c>
      <c r="AH96" s="4">
        <f t="shared" si="12"/>
        <v>3.4685974069708705E-2</v>
      </c>
      <c r="AI96" s="4">
        <f t="shared" si="12"/>
        <v>2.0851154833190763E-2</v>
      </c>
      <c r="AJ96" s="4">
        <f t="shared" si="12"/>
        <v>8.4863559880020475E-3</v>
      </c>
      <c r="AK96" s="4">
        <f t="shared" si="12"/>
        <v>1.1376136569335952E-2</v>
      </c>
      <c r="AL96" s="4">
        <f t="shared" si="12"/>
        <v>2.5388765471278957E-3</v>
      </c>
      <c r="AM96" s="4">
        <f t="shared" si="12"/>
        <v>8.057851239669421E-3</v>
      </c>
      <c r="AN96" s="4">
        <f t="shared" si="12"/>
        <v>1.5993978737416502E-2</v>
      </c>
      <c r="AO96" s="4">
        <f t="shared" si="12"/>
        <v>9.8476593820028373E-3</v>
      </c>
      <c r="AP96" s="4">
        <f t="shared" si="12"/>
        <v>8.7648916830013902E-3</v>
      </c>
      <c r="AQ96" s="4">
        <f t="shared" si="12"/>
        <v>1.5825341259813164E-2</v>
      </c>
      <c r="AR96" s="4">
        <f t="shared" si="12"/>
        <v>2.0514805496419583E-2</v>
      </c>
      <c r="AS96" s="4">
        <f t="shared" si="12"/>
        <v>1.1351495726495728E-2</v>
      </c>
      <c r="AT96" s="12">
        <f t="shared" si="12"/>
        <v>0</v>
      </c>
    </row>
    <row r="97" spans="1:46" x14ac:dyDescent="0.25">
      <c r="A97" s="18" t="s">
        <v>85</v>
      </c>
      <c r="B97" s="22">
        <f t="shared" si="10"/>
        <v>6.783839175238032E-4</v>
      </c>
      <c r="C97" s="4">
        <f t="shared" si="12"/>
        <v>4.5552157220016916E-4</v>
      </c>
      <c r="D97" s="4">
        <f t="shared" si="12"/>
        <v>0</v>
      </c>
      <c r="E97" s="4">
        <f t="shared" si="12"/>
        <v>1.5853693061178267E-3</v>
      </c>
      <c r="F97" s="4">
        <f t="shared" si="12"/>
        <v>2.4579083200196631E-3</v>
      </c>
      <c r="G97" s="4">
        <f t="shared" si="12"/>
        <v>2.5325274435594723E-3</v>
      </c>
      <c r="H97" s="4">
        <f t="shared" si="12"/>
        <v>2.1371641599177275E-3</v>
      </c>
      <c r="I97" s="4">
        <f t="shared" si="12"/>
        <v>1.8075918859208678E-3</v>
      </c>
      <c r="J97" s="4">
        <f t="shared" si="12"/>
        <v>2.193609918931807E-3</v>
      </c>
      <c r="K97" s="4">
        <f t="shared" si="12"/>
        <v>0</v>
      </c>
      <c r="L97" s="4">
        <f t="shared" si="12"/>
        <v>1.1260754020089186E-3</v>
      </c>
      <c r="M97" s="4">
        <f t="shared" si="12"/>
        <v>2.0549318364073777E-3</v>
      </c>
      <c r="N97" s="4">
        <f t="shared" si="12"/>
        <v>4.555084745762712E-3</v>
      </c>
      <c r="O97" s="4">
        <f t="shared" si="12"/>
        <v>4.7586464294600648E-3</v>
      </c>
      <c r="P97" s="4">
        <f t="shared" si="12"/>
        <v>1.353994283135249E-3</v>
      </c>
      <c r="Q97" s="4">
        <f t="shared" si="12"/>
        <v>1.6709511568123393E-3</v>
      </c>
      <c r="R97" s="4">
        <f t="shared" si="12"/>
        <v>2.3579051873914123E-3</v>
      </c>
      <c r="S97" s="4">
        <f t="shared" si="12"/>
        <v>2.5553662691652468E-3</v>
      </c>
      <c r="T97" s="4">
        <f t="shared" si="12"/>
        <v>1.7018379850238256E-3</v>
      </c>
      <c r="U97" s="4">
        <f t="shared" si="12"/>
        <v>1.2053033346725594E-3</v>
      </c>
      <c r="V97" s="4">
        <f t="shared" si="12"/>
        <v>2.78372591006424E-3</v>
      </c>
      <c r="W97" s="4">
        <f t="shared" si="12"/>
        <v>2.2242675256941248E-3</v>
      </c>
      <c r="X97" s="4">
        <f t="shared" si="12"/>
        <v>4.3826177964808232E-3</v>
      </c>
      <c r="Y97" s="4">
        <f t="shared" si="12"/>
        <v>4.0604872584710161E-3</v>
      </c>
      <c r="Z97" s="4">
        <f t="shared" si="12"/>
        <v>8.5077785403797753E-4</v>
      </c>
      <c r="AA97" s="4">
        <f t="shared" si="12"/>
        <v>2.3841367680409371E-3</v>
      </c>
      <c r="AB97" s="4">
        <f t="shared" si="12"/>
        <v>2.539665916112478E-3</v>
      </c>
      <c r="AC97" s="4">
        <f t="shared" si="12"/>
        <v>2.7679919476597892E-3</v>
      </c>
      <c r="AD97" s="4">
        <f t="shared" si="12"/>
        <v>4.9622437971952541E-3</v>
      </c>
      <c r="AE97" s="4">
        <f t="shared" si="12"/>
        <v>4.2674967366201425E-3</v>
      </c>
      <c r="AF97" s="4">
        <f t="shared" si="12"/>
        <v>1.8403171007927521E-3</v>
      </c>
      <c r="AG97" s="4">
        <f t="shared" si="12"/>
        <v>2.4091054352368547E-3</v>
      </c>
      <c r="AH97" s="4">
        <f t="shared" si="12"/>
        <v>2.752988718639502E-2</v>
      </c>
      <c r="AI97" s="4">
        <f t="shared" si="12"/>
        <v>2.8514399771884802E-3</v>
      </c>
      <c r="AJ97" s="4">
        <f t="shared" si="12"/>
        <v>1.9021142731728729E-3</v>
      </c>
      <c r="AK97" s="4">
        <f t="shared" si="12"/>
        <v>1.8937020482615538E-3</v>
      </c>
      <c r="AL97" s="4">
        <f t="shared" si="12"/>
        <v>6.0131286642502808E-4</v>
      </c>
      <c r="AM97" s="4">
        <f t="shared" si="12"/>
        <v>2.6342975206611568E-3</v>
      </c>
      <c r="AN97" s="4">
        <f t="shared" si="12"/>
        <v>1.7875623294759618E-3</v>
      </c>
      <c r="AO97" s="4">
        <f t="shared" si="12"/>
        <v>2.3094371689178542E-3</v>
      </c>
      <c r="AP97" s="4">
        <f t="shared" si="12"/>
        <v>2.3765754968972483E-3</v>
      </c>
      <c r="AQ97" s="4">
        <f t="shared" si="12"/>
        <v>3.1484972139942417E-3</v>
      </c>
      <c r="AR97" s="4">
        <f t="shared" si="12"/>
        <v>1.1999225856396361E-2</v>
      </c>
      <c r="AS97" s="4">
        <f t="shared" si="12"/>
        <v>5.4754273504273501E-3</v>
      </c>
      <c r="AT97" s="12">
        <f t="shared" si="12"/>
        <v>0</v>
      </c>
    </row>
    <row r="98" spans="1:46" x14ac:dyDescent="0.25">
      <c r="A98" s="18" t="s">
        <v>86</v>
      </c>
      <c r="B98" s="22">
        <f t="shared" si="10"/>
        <v>3.0957237926438341E-3</v>
      </c>
      <c r="C98" s="4">
        <f t="shared" si="12"/>
        <v>1.9522353094292963E-4</v>
      </c>
      <c r="D98" s="4">
        <f t="shared" si="12"/>
        <v>0</v>
      </c>
      <c r="E98" s="4">
        <f t="shared" si="12"/>
        <v>1.1324066472270192E-4</v>
      </c>
      <c r="F98" s="4">
        <f t="shared" si="12"/>
        <v>4.9158166400393262E-4</v>
      </c>
      <c r="G98" s="4">
        <f t="shared" si="12"/>
        <v>3.4363290591048602E-4</v>
      </c>
      <c r="H98" s="4">
        <f t="shared" si="12"/>
        <v>2.8924026224450445E-4</v>
      </c>
      <c r="I98" s="4">
        <f t="shared" si="12"/>
        <v>2.0084354288009643E-4</v>
      </c>
      <c r="J98" s="4">
        <f t="shared" si="12"/>
        <v>2.8612303290414875E-4</v>
      </c>
      <c r="K98" s="4">
        <f t="shared" si="12"/>
        <v>0</v>
      </c>
      <c r="L98" s="4">
        <f t="shared" si="12"/>
        <v>1.951864030148792E-4</v>
      </c>
      <c r="M98" s="4">
        <f t="shared" si="12"/>
        <v>2.5060144346431435E-4</v>
      </c>
      <c r="N98" s="4">
        <f t="shared" si="12"/>
        <v>4.2372881355932208E-4</v>
      </c>
      <c r="O98" s="4">
        <f t="shared" si="12"/>
        <v>2.488181139586962E-4</v>
      </c>
      <c r="P98" s="4">
        <f t="shared" si="12"/>
        <v>1.5044380923724988E-4</v>
      </c>
      <c r="Q98" s="4">
        <f t="shared" si="12"/>
        <v>2.5706940874035988E-4</v>
      </c>
      <c r="R98" s="4">
        <f t="shared" si="12"/>
        <v>3.7230081906180194E-4</v>
      </c>
      <c r="S98" s="4">
        <f t="shared" si="12"/>
        <v>2.271436683702442E-4</v>
      </c>
      <c r="T98" s="4">
        <f t="shared" si="12"/>
        <v>3.4036759700476518E-4</v>
      </c>
      <c r="U98" s="4">
        <f t="shared" si="12"/>
        <v>2.901656176063569E-4</v>
      </c>
      <c r="V98" s="4">
        <f t="shared" si="12"/>
        <v>2.1413276231263385E-4</v>
      </c>
      <c r="W98" s="4">
        <f t="shared" si="12"/>
        <v>8.4368768215984052E-4</v>
      </c>
      <c r="X98" s="4">
        <f t="shared" si="12"/>
        <v>1.0902034319604038E-4</v>
      </c>
      <c r="Y98" s="4">
        <f t="shared" si="12"/>
        <v>1.4001680201624196E-4</v>
      </c>
      <c r="Z98" s="4">
        <f t="shared" si="12"/>
        <v>1.9303363074811257E-4</v>
      </c>
      <c r="AA98" s="4">
        <f t="shared" si="12"/>
        <v>1.4537419317322788E-4</v>
      </c>
      <c r="AB98" s="4">
        <f t="shared" si="12"/>
        <v>2.8800335131172439E-4</v>
      </c>
      <c r="AC98" s="4">
        <f t="shared" si="12"/>
        <v>2.5163563160543538E-4</v>
      </c>
      <c r="AD98" s="4">
        <f t="shared" si="12"/>
        <v>5.0341603739661989E-4</v>
      </c>
      <c r="AE98" s="4">
        <f t="shared" si="12"/>
        <v>2.5102921980118485E-4</v>
      </c>
      <c r="AF98" s="4">
        <f t="shared" si="12"/>
        <v>1.4156285390713478E-4</v>
      </c>
      <c r="AG98" s="4">
        <f t="shared" si="12"/>
        <v>1.720789596597753E-4</v>
      </c>
      <c r="AH98" s="4">
        <f t="shared" si="12"/>
        <v>1.0439467923892913E-2</v>
      </c>
      <c r="AI98" s="4">
        <f t="shared" si="12"/>
        <v>1.7821499857428001E-4</v>
      </c>
      <c r="AJ98" s="4">
        <f t="shared" si="12"/>
        <v>7.3158241275879721E-5</v>
      </c>
      <c r="AK98" s="4">
        <f t="shared" si="12"/>
        <v>3.9544954537226564E-3</v>
      </c>
      <c r="AL98" s="4">
        <f t="shared" si="12"/>
        <v>1.6703135178473002E-5</v>
      </c>
      <c r="AM98" s="4">
        <f t="shared" si="12"/>
        <v>7.7479338842975198E-5</v>
      </c>
      <c r="AN98" s="4">
        <f t="shared" si="12"/>
        <v>9.4082227867155888E-5</v>
      </c>
      <c r="AO98" s="4">
        <f t="shared" si="12"/>
        <v>9.9778650384106694E-3</v>
      </c>
      <c r="AP98" s="4">
        <f t="shared" si="12"/>
        <v>1.6341495617554158E-2</v>
      </c>
      <c r="AQ98" s="4">
        <f t="shared" si="12"/>
        <v>7.0426911365660668E-3</v>
      </c>
      <c r="AR98" s="4">
        <f t="shared" si="12"/>
        <v>7.160828333655893E-3</v>
      </c>
      <c r="AS98" s="4">
        <f t="shared" si="12"/>
        <v>8.814102564102564E-3</v>
      </c>
      <c r="AT98" s="12">
        <f t="shared" si="12"/>
        <v>0</v>
      </c>
    </row>
    <row r="99" spans="1:46" x14ac:dyDescent="0.25">
      <c r="A99" s="18" t="s">
        <v>87</v>
      </c>
      <c r="B99" s="22">
        <f t="shared" si="10"/>
        <v>1.8727218004882455E-3</v>
      </c>
      <c r="C99" s="4">
        <f t="shared" si="12"/>
        <v>1.9522353094292963E-4</v>
      </c>
      <c r="D99" s="4">
        <f t="shared" si="12"/>
        <v>0</v>
      </c>
      <c r="E99" s="4">
        <f t="shared" si="12"/>
        <v>1.1324066472270192E-4</v>
      </c>
      <c r="F99" s="4">
        <f t="shared" si="12"/>
        <v>3.6868624800294946E-4</v>
      </c>
      <c r="G99" s="4">
        <f t="shared" si="12"/>
        <v>3.718767063962794E-4</v>
      </c>
      <c r="H99" s="4">
        <f t="shared" si="12"/>
        <v>6.106183314050649E-4</v>
      </c>
      <c r="I99" s="4">
        <f t="shared" si="12"/>
        <v>4.0168708576019286E-4</v>
      </c>
      <c r="J99" s="4">
        <f t="shared" si="12"/>
        <v>2.8612303290414875E-4</v>
      </c>
      <c r="K99" s="4">
        <f t="shared" si="12"/>
        <v>0</v>
      </c>
      <c r="L99" s="4">
        <f t="shared" si="12"/>
        <v>2.2521508040178369E-4</v>
      </c>
      <c r="M99" s="4">
        <f t="shared" si="12"/>
        <v>3.0072173215717722E-4</v>
      </c>
      <c r="N99" s="4">
        <f t="shared" si="12"/>
        <v>5.2966101694915254E-4</v>
      </c>
      <c r="O99" s="4">
        <f t="shared" si="12"/>
        <v>2.7992037820353323E-4</v>
      </c>
      <c r="P99" s="4">
        <f t="shared" si="12"/>
        <v>1.5044380923724988E-4</v>
      </c>
      <c r="Q99" s="4">
        <f t="shared" si="12"/>
        <v>2.5706940874035988E-4</v>
      </c>
      <c r="R99" s="4">
        <f t="shared" si="12"/>
        <v>8.6870191114420451E-4</v>
      </c>
      <c r="S99" s="4">
        <f t="shared" si="12"/>
        <v>4.8268029528676887E-4</v>
      </c>
      <c r="T99" s="4">
        <f t="shared" si="12"/>
        <v>3.4036759700476518E-4</v>
      </c>
      <c r="U99" s="4">
        <f t="shared" si="12"/>
        <v>2.6784518548279097E-4</v>
      </c>
      <c r="V99" s="4">
        <f t="shared" si="12"/>
        <v>2.1413276231263385E-4</v>
      </c>
      <c r="W99" s="4">
        <f t="shared" si="12"/>
        <v>5.3689216137444394E-4</v>
      </c>
      <c r="X99" s="4">
        <f t="shared" si="12"/>
        <v>1.3082441183524845E-4</v>
      </c>
      <c r="Y99" s="4">
        <f t="shared" si="12"/>
        <v>1.4001680201624196E-4</v>
      </c>
      <c r="Z99" s="4">
        <f t="shared" si="12"/>
        <v>2.5022878059940517E-4</v>
      </c>
      <c r="AA99" s="4">
        <f t="shared" si="12"/>
        <v>1.5991161249055068E-4</v>
      </c>
      <c r="AB99" s="4">
        <f t="shared" si="12"/>
        <v>3.4036759700476512E-4</v>
      </c>
      <c r="AC99" s="4">
        <f t="shared" si="12"/>
        <v>3.7745344740815299E-4</v>
      </c>
      <c r="AD99" s="4">
        <f t="shared" si="12"/>
        <v>7.19165767709457E-4</v>
      </c>
      <c r="AE99" s="4">
        <f t="shared" si="12"/>
        <v>2.5102921980118485E-4</v>
      </c>
      <c r="AF99" s="4">
        <f t="shared" si="12"/>
        <v>1.4156285390713478E-4</v>
      </c>
      <c r="AG99" s="4">
        <f t="shared" si="12"/>
        <v>1.9666166818260036E-4</v>
      </c>
      <c r="AH99" s="4">
        <f t="shared" si="12"/>
        <v>2.6098669809732282E-3</v>
      </c>
      <c r="AI99" s="4">
        <f t="shared" si="12"/>
        <v>2.13857998289136E-4</v>
      </c>
      <c r="AJ99" s="4">
        <f t="shared" si="12"/>
        <v>7.3158241275879721E-5</v>
      </c>
      <c r="AK99" s="4">
        <f t="shared" si="12"/>
        <v>1.5455950540958269E-3</v>
      </c>
      <c r="AL99" s="4">
        <f t="shared" si="12"/>
        <v>1.6703135178473002E-5</v>
      </c>
      <c r="AM99" s="4">
        <f t="shared" si="12"/>
        <v>7.7479338842975198E-5</v>
      </c>
      <c r="AN99" s="4">
        <f t="shared" si="12"/>
        <v>9.4082227867155888E-5</v>
      </c>
      <c r="AO99" s="4">
        <f t="shared" si="12"/>
        <v>4.3653159543046681E-3</v>
      </c>
      <c r="AP99" s="4">
        <f t="shared" si="12"/>
        <v>1.2898508038715836E-3</v>
      </c>
      <c r="AQ99" s="4">
        <f t="shared" si="12"/>
        <v>1.2241854299148664E-2</v>
      </c>
      <c r="AR99" s="4">
        <f t="shared" si="12"/>
        <v>4.0642539191019936E-3</v>
      </c>
      <c r="AS99" s="4">
        <f t="shared" si="12"/>
        <v>3.872863247863248E-3</v>
      </c>
      <c r="AT99" s="12">
        <f t="shared" si="12"/>
        <v>0</v>
      </c>
    </row>
    <row r="100" spans="1:46" x14ac:dyDescent="0.25">
      <c r="A100" s="18" t="s">
        <v>88</v>
      </c>
      <c r="B100" s="22">
        <f t="shared" si="10"/>
        <v>3.8218812254862151E-5</v>
      </c>
      <c r="C100" s="4">
        <f t="shared" si="12"/>
        <v>1.3014902062861977E-4</v>
      </c>
      <c r="D100" s="4">
        <f t="shared" si="12"/>
        <v>0</v>
      </c>
      <c r="E100" s="4">
        <f t="shared" si="12"/>
        <v>5.0958299125215866E-4</v>
      </c>
      <c r="F100" s="4">
        <f t="shared" si="12"/>
        <v>1.2289541600098315E-4</v>
      </c>
      <c r="G100" s="4">
        <f t="shared" si="12"/>
        <v>2.8714530493889926E-4</v>
      </c>
      <c r="H100" s="4">
        <f t="shared" si="12"/>
        <v>8.8378969019154135E-4</v>
      </c>
      <c r="I100" s="4">
        <f t="shared" ref="C100:AT102" si="13">I44/I$51</f>
        <v>4.0168708576019286E-4</v>
      </c>
      <c r="J100" s="4">
        <f t="shared" si="13"/>
        <v>5.722460658082975E-4</v>
      </c>
      <c r="K100" s="4">
        <f t="shared" si="13"/>
        <v>0</v>
      </c>
      <c r="L100" s="4">
        <f t="shared" si="13"/>
        <v>2.5524375778868819E-4</v>
      </c>
      <c r="M100" s="4">
        <f t="shared" si="13"/>
        <v>4.5108259823576583E-4</v>
      </c>
      <c r="N100" s="4">
        <f t="shared" si="13"/>
        <v>1.9067796610169492E-3</v>
      </c>
      <c r="O100" s="4">
        <f t="shared" si="13"/>
        <v>1.3996018910176662E-3</v>
      </c>
      <c r="P100" s="4">
        <f t="shared" si="13"/>
        <v>4.0118349129933308E-4</v>
      </c>
      <c r="Q100" s="4">
        <f t="shared" si="13"/>
        <v>4.7129391602399316E-4</v>
      </c>
      <c r="R100" s="4">
        <f t="shared" si="13"/>
        <v>9.9280218416480524E-4</v>
      </c>
      <c r="S100" s="4">
        <f t="shared" si="13"/>
        <v>7.666098807495742E-4</v>
      </c>
      <c r="T100" s="4">
        <f t="shared" si="13"/>
        <v>3.4036759700476518E-4</v>
      </c>
      <c r="U100" s="4">
        <f t="shared" si="13"/>
        <v>2.6784518548279097E-4</v>
      </c>
      <c r="V100" s="4">
        <f t="shared" si="13"/>
        <v>8.565310492505354E-4</v>
      </c>
      <c r="W100" s="4">
        <f t="shared" si="13"/>
        <v>3.0679552078539658E-4</v>
      </c>
      <c r="X100" s="4">
        <f t="shared" si="13"/>
        <v>1.1338115692388199E-3</v>
      </c>
      <c r="Y100" s="4">
        <f t="shared" si="13"/>
        <v>8.4010081209745166E-4</v>
      </c>
      <c r="Z100" s="4">
        <f t="shared" si="13"/>
        <v>2.0018302447952411E-4</v>
      </c>
      <c r="AA100" s="4">
        <f t="shared" si="13"/>
        <v>3.7797290225039253E-4</v>
      </c>
      <c r="AB100" s="4">
        <f t="shared" si="13"/>
        <v>2.0945698277216316E-4</v>
      </c>
      <c r="AC100" s="4">
        <f t="shared" si="13"/>
        <v>2.5163563160543538E-4</v>
      </c>
      <c r="AD100" s="4">
        <f t="shared" si="13"/>
        <v>5.0341603739661989E-4</v>
      </c>
      <c r="AE100" s="4">
        <f t="shared" si="13"/>
        <v>2.0082337584094789E-4</v>
      </c>
      <c r="AF100" s="4">
        <f t="shared" si="13"/>
        <v>1.4156285390713478E-4</v>
      </c>
      <c r="AG100" s="4">
        <f t="shared" si="13"/>
        <v>5.8998500454780106E-4</v>
      </c>
      <c r="AH100" s="4">
        <f t="shared" si="13"/>
        <v>7.5770331705674356E-3</v>
      </c>
      <c r="AI100" s="4">
        <f t="shared" si="13"/>
        <v>2.13857998289136E-4</v>
      </c>
      <c r="AJ100" s="4">
        <f t="shared" si="13"/>
        <v>2.9263296510351888E-4</v>
      </c>
      <c r="AK100" s="4">
        <f t="shared" si="13"/>
        <v>6.9621398833145359E-5</v>
      </c>
      <c r="AL100" s="4">
        <f t="shared" si="13"/>
        <v>8.3515675892365001E-5</v>
      </c>
      <c r="AM100" s="4">
        <f t="shared" si="13"/>
        <v>6.4566115702479341E-4</v>
      </c>
      <c r="AN100" s="4">
        <f t="shared" si="13"/>
        <v>7.056167090036692E-4</v>
      </c>
      <c r="AO100" s="4">
        <f t="shared" si="13"/>
        <v>4.1117575707736272E-4</v>
      </c>
      <c r="AP100" s="4">
        <f t="shared" si="13"/>
        <v>8.328170544682665E-4</v>
      </c>
      <c r="AQ100" s="4">
        <f t="shared" si="13"/>
        <v>6.2141392381465294E-4</v>
      </c>
      <c r="AR100" s="4">
        <f t="shared" si="13"/>
        <v>1.4708728469131021E-2</v>
      </c>
      <c r="AS100" s="4">
        <f t="shared" si="13"/>
        <v>1.6025641025641025E-3</v>
      </c>
      <c r="AT100" s="12">
        <f t="shared" si="13"/>
        <v>0</v>
      </c>
    </row>
    <row r="101" spans="1:46" x14ac:dyDescent="0.25">
      <c r="A101" s="18" t="s">
        <v>89</v>
      </c>
      <c r="B101" s="22">
        <f t="shared" si="10"/>
        <v>4.2996163786719924E-5</v>
      </c>
      <c r="C101" s="4">
        <f t="shared" si="13"/>
        <v>5.205960825144791E-4</v>
      </c>
      <c r="D101" s="4">
        <f t="shared" si="13"/>
        <v>0</v>
      </c>
      <c r="E101" s="4">
        <f t="shared" si="13"/>
        <v>9.0592531778161539E-4</v>
      </c>
      <c r="F101" s="4">
        <f t="shared" si="13"/>
        <v>6.1447708000491577E-4</v>
      </c>
      <c r="G101" s="4">
        <f t="shared" si="13"/>
        <v>5.3663220923007402E-4</v>
      </c>
      <c r="H101" s="4">
        <f t="shared" si="13"/>
        <v>1.3176500835582979E-3</v>
      </c>
      <c r="I101" s="4">
        <f t="shared" si="13"/>
        <v>8.0337417152038571E-4</v>
      </c>
      <c r="J101" s="4">
        <f t="shared" si="13"/>
        <v>8.5836909871244641E-4</v>
      </c>
      <c r="K101" s="4">
        <f t="shared" si="13"/>
        <v>0</v>
      </c>
      <c r="L101" s="4">
        <f t="shared" si="13"/>
        <v>4.6544449949701967E-4</v>
      </c>
      <c r="M101" s="4">
        <f t="shared" si="13"/>
        <v>7.5180433039294305E-4</v>
      </c>
      <c r="N101" s="4">
        <f t="shared" si="13"/>
        <v>3.3898305084745766E-3</v>
      </c>
      <c r="O101" s="4">
        <f t="shared" si="13"/>
        <v>3.732271709380443E-3</v>
      </c>
      <c r="P101" s="4">
        <f t="shared" si="13"/>
        <v>7.5221904618624942E-4</v>
      </c>
      <c r="Q101" s="4">
        <f t="shared" si="13"/>
        <v>9.4258783204798633E-4</v>
      </c>
      <c r="R101" s="4">
        <f t="shared" si="13"/>
        <v>1.116902457185406E-3</v>
      </c>
      <c r="S101" s="4">
        <f t="shared" si="13"/>
        <v>1.3912549687677457E-3</v>
      </c>
      <c r="T101" s="4">
        <f t="shared" si="13"/>
        <v>1.0211027910142954E-3</v>
      </c>
      <c r="U101" s="4">
        <f t="shared" si="13"/>
        <v>3.7944734610062054E-4</v>
      </c>
      <c r="V101" s="4">
        <f t="shared" si="13"/>
        <v>1.2847965738758029E-3</v>
      </c>
      <c r="W101" s="4">
        <f t="shared" si="13"/>
        <v>5.3689216137444394E-4</v>
      </c>
      <c r="X101" s="4">
        <f t="shared" si="13"/>
        <v>2.9435492662930902E-3</v>
      </c>
      <c r="Y101" s="4">
        <f t="shared" si="13"/>
        <v>3.3604032483898066E-3</v>
      </c>
      <c r="Z101" s="4">
        <f t="shared" si="13"/>
        <v>3.0027453671928621E-4</v>
      </c>
      <c r="AA101" s="4">
        <f t="shared" si="13"/>
        <v>6.033029016688958E-4</v>
      </c>
      <c r="AB101" s="4">
        <f t="shared" si="13"/>
        <v>1.5709273707912235E-4</v>
      </c>
      <c r="AC101" s="4">
        <f t="shared" si="13"/>
        <v>1.2581781580271769E-4</v>
      </c>
      <c r="AD101" s="4">
        <f t="shared" si="13"/>
        <v>2.8766630708378283E-4</v>
      </c>
      <c r="AE101" s="4">
        <f t="shared" si="13"/>
        <v>1.5061753188071091E-4</v>
      </c>
      <c r="AF101" s="4">
        <f t="shared" si="13"/>
        <v>2.8312570781426955E-4</v>
      </c>
      <c r="AG101" s="4">
        <f t="shared" si="13"/>
        <v>6.883158386391012E-4</v>
      </c>
      <c r="AH101" s="4">
        <f t="shared" si="13"/>
        <v>4.8829769321434586E-3</v>
      </c>
      <c r="AI101" s="4">
        <f t="shared" si="13"/>
        <v>2.4950099800399199E-4</v>
      </c>
      <c r="AJ101" s="4">
        <f t="shared" si="13"/>
        <v>7.3158241275879724E-4</v>
      </c>
      <c r="AK101" s="4">
        <f t="shared" si="13"/>
        <v>5.5697119066516289E-5</v>
      </c>
      <c r="AL101" s="4">
        <f t="shared" si="13"/>
        <v>2.0043762214167599E-4</v>
      </c>
      <c r="AM101" s="4">
        <f t="shared" si="13"/>
        <v>7.7479338842975209E-4</v>
      </c>
      <c r="AN101" s="4">
        <f t="shared" si="13"/>
        <v>7.99698936870825E-4</v>
      </c>
      <c r="AO101" s="4">
        <f t="shared" si="13"/>
        <v>4.7285212063896719E-4</v>
      </c>
      <c r="AP101" s="4">
        <f t="shared" si="13"/>
        <v>6.0937833253775606E-4</v>
      </c>
      <c r="AQ101" s="4">
        <f t="shared" si="13"/>
        <v>1.2842554425502829E-3</v>
      </c>
      <c r="AR101" s="4">
        <f t="shared" si="13"/>
        <v>3.2901103154635179E-3</v>
      </c>
      <c r="AS101" s="4">
        <f t="shared" si="13"/>
        <v>5.074786324786325E-3</v>
      </c>
      <c r="AT101" s="12">
        <f t="shared" si="13"/>
        <v>0</v>
      </c>
    </row>
    <row r="102" spans="1:46" ht="13" thickBot="1" x14ac:dyDescent="0.3">
      <c r="A102" s="23" t="s">
        <v>90</v>
      </c>
      <c r="B102" s="24">
        <f t="shared" si="10"/>
        <v>0</v>
      </c>
      <c r="C102" s="25">
        <f t="shared" si="13"/>
        <v>0</v>
      </c>
      <c r="D102" s="25">
        <f t="shared" si="13"/>
        <v>0</v>
      </c>
      <c r="E102" s="25">
        <f t="shared" si="13"/>
        <v>0</v>
      </c>
      <c r="F102" s="25">
        <f t="shared" si="13"/>
        <v>0</v>
      </c>
      <c r="G102" s="25">
        <f t="shared" si="13"/>
        <v>0</v>
      </c>
      <c r="H102" s="25">
        <f t="shared" si="13"/>
        <v>0</v>
      </c>
      <c r="I102" s="25">
        <f t="shared" si="13"/>
        <v>0</v>
      </c>
      <c r="J102" s="25">
        <f t="shared" si="13"/>
        <v>0</v>
      </c>
      <c r="K102" s="25">
        <f t="shared" si="13"/>
        <v>0</v>
      </c>
      <c r="L102" s="25">
        <f t="shared" si="13"/>
        <v>0</v>
      </c>
      <c r="M102" s="25">
        <f t="shared" si="13"/>
        <v>0</v>
      </c>
      <c r="N102" s="25">
        <f t="shared" si="13"/>
        <v>0</v>
      </c>
      <c r="O102" s="25">
        <f t="shared" si="13"/>
        <v>0</v>
      </c>
      <c r="P102" s="25">
        <f t="shared" si="13"/>
        <v>0</v>
      </c>
      <c r="Q102" s="25">
        <f t="shared" si="13"/>
        <v>0</v>
      </c>
      <c r="R102" s="25">
        <f t="shared" si="13"/>
        <v>0</v>
      </c>
      <c r="S102" s="25">
        <f t="shared" si="13"/>
        <v>0</v>
      </c>
      <c r="T102" s="25">
        <f t="shared" si="13"/>
        <v>0</v>
      </c>
      <c r="U102" s="25">
        <f t="shared" si="13"/>
        <v>0</v>
      </c>
      <c r="V102" s="25">
        <f t="shared" si="13"/>
        <v>0</v>
      </c>
      <c r="W102" s="25">
        <f t="shared" si="13"/>
        <v>0</v>
      </c>
      <c r="X102" s="25">
        <f t="shared" si="13"/>
        <v>0</v>
      </c>
      <c r="Y102" s="25">
        <f t="shared" si="13"/>
        <v>0</v>
      </c>
      <c r="Z102" s="25">
        <f t="shared" si="13"/>
        <v>0</v>
      </c>
      <c r="AA102" s="25">
        <f t="shared" si="13"/>
        <v>0</v>
      </c>
      <c r="AB102" s="25">
        <f t="shared" si="13"/>
        <v>0</v>
      </c>
      <c r="AC102" s="25">
        <f t="shared" si="13"/>
        <v>0</v>
      </c>
      <c r="AD102" s="25">
        <f t="shared" si="13"/>
        <v>0</v>
      </c>
      <c r="AE102" s="25">
        <f t="shared" si="13"/>
        <v>0</v>
      </c>
      <c r="AF102" s="25">
        <f t="shared" si="13"/>
        <v>0</v>
      </c>
      <c r="AG102" s="25">
        <f t="shared" si="13"/>
        <v>0</v>
      </c>
      <c r="AH102" s="25">
        <f t="shared" si="13"/>
        <v>0</v>
      </c>
      <c r="AI102" s="25">
        <f t="shared" si="13"/>
        <v>0</v>
      </c>
      <c r="AJ102" s="25">
        <f t="shared" si="13"/>
        <v>0</v>
      </c>
      <c r="AK102" s="25">
        <f t="shared" si="13"/>
        <v>0</v>
      </c>
      <c r="AL102" s="25">
        <f t="shared" si="13"/>
        <v>0</v>
      </c>
      <c r="AM102" s="25">
        <f t="shared" si="13"/>
        <v>0</v>
      </c>
      <c r="AN102" s="25">
        <f t="shared" si="13"/>
        <v>0</v>
      </c>
      <c r="AO102" s="25">
        <f t="shared" si="13"/>
        <v>0</v>
      </c>
      <c r="AP102" s="25">
        <f t="shared" si="13"/>
        <v>0</v>
      </c>
      <c r="AQ102" s="25">
        <f t="shared" si="13"/>
        <v>0</v>
      </c>
      <c r="AR102" s="25">
        <f t="shared" si="13"/>
        <v>0</v>
      </c>
      <c r="AS102" s="25">
        <f t="shared" si="13"/>
        <v>0</v>
      </c>
      <c r="AT102" s="26">
        <f t="shared" si="13"/>
        <v>0</v>
      </c>
    </row>
    <row r="103" spans="1:46" x14ac:dyDescent="0.25">
      <c r="A103" s="8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10"/>
    </row>
    <row r="104" spans="1:46" x14ac:dyDescent="0.25">
      <c r="A104" s="11" t="s">
        <v>92</v>
      </c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12"/>
    </row>
    <row r="105" spans="1:46" x14ac:dyDescent="0.25">
      <c r="A105" s="11" t="s">
        <v>93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13"/>
    </row>
    <row r="106" spans="1:46" x14ac:dyDescent="0.25">
      <c r="A106" s="11" t="s">
        <v>94</v>
      </c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12"/>
    </row>
    <row r="107" spans="1:46" ht="13" thickBot="1" x14ac:dyDescent="0.3">
      <c r="A107" s="14" t="s">
        <v>95</v>
      </c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6"/>
    </row>
    <row r="113" spans="1:46" ht="121" thickBot="1" x14ac:dyDescent="0.3">
      <c r="A113" s="27" t="s">
        <v>96</v>
      </c>
      <c r="B113" s="17" t="s">
        <v>1</v>
      </c>
      <c r="C113" s="17" t="s">
        <v>2</v>
      </c>
      <c r="D113" s="17" t="s">
        <v>3</v>
      </c>
      <c r="E113" s="17" t="s">
        <v>4</v>
      </c>
      <c r="F113" s="17" t="s">
        <v>5</v>
      </c>
      <c r="G113" s="17" t="s">
        <v>6</v>
      </c>
      <c r="H113" s="17" t="s">
        <v>7</v>
      </c>
      <c r="I113" s="17" t="s">
        <v>8</v>
      </c>
      <c r="J113" s="17" t="s">
        <v>9</v>
      </c>
      <c r="K113" s="17" t="s">
        <v>10</v>
      </c>
      <c r="L113" s="17" t="s">
        <v>11</v>
      </c>
      <c r="M113" s="17" t="s">
        <v>12</v>
      </c>
      <c r="N113" s="17" t="s">
        <v>13</v>
      </c>
      <c r="O113" s="17" t="s">
        <v>14</v>
      </c>
      <c r="P113" s="17" t="s">
        <v>15</v>
      </c>
      <c r="Q113" s="17" t="s">
        <v>16</v>
      </c>
      <c r="R113" s="17" t="s">
        <v>17</v>
      </c>
      <c r="S113" s="17" t="s">
        <v>18</v>
      </c>
      <c r="T113" s="17" t="s">
        <v>19</v>
      </c>
      <c r="U113" s="17" t="s">
        <v>20</v>
      </c>
      <c r="V113" s="17" t="s">
        <v>21</v>
      </c>
      <c r="W113" s="17" t="s">
        <v>22</v>
      </c>
      <c r="X113" s="17" t="s">
        <v>23</v>
      </c>
      <c r="Y113" s="17" t="s">
        <v>24</v>
      </c>
      <c r="Z113" s="17" t="s">
        <v>25</v>
      </c>
      <c r="AA113" s="17" t="s">
        <v>26</v>
      </c>
      <c r="AB113" s="17" t="s">
        <v>27</v>
      </c>
      <c r="AC113" s="17" t="s">
        <v>28</v>
      </c>
      <c r="AD113" s="17" t="s">
        <v>29</v>
      </c>
      <c r="AE113" s="17" t="s">
        <v>30</v>
      </c>
      <c r="AF113" s="17" t="s">
        <v>31</v>
      </c>
      <c r="AG113" s="17" t="s">
        <v>32</v>
      </c>
      <c r="AH113" s="17" t="s">
        <v>33</v>
      </c>
      <c r="AI113" s="17" t="s">
        <v>34</v>
      </c>
      <c r="AJ113" s="17" t="s">
        <v>35</v>
      </c>
      <c r="AK113" s="17" t="s">
        <v>36</v>
      </c>
      <c r="AL113" s="17" t="s">
        <v>37</v>
      </c>
      <c r="AM113" s="17" t="s">
        <v>38</v>
      </c>
      <c r="AN113" s="17" t="s">
        <v>39</v>
      </c>
      <c r="AO113" s="17" t="s">
        <v>40</v>
      </c>
      <c r="AP113" s="17" t="s">
        <v>41</v>
      </c>
      <c r="AQ113" s="17" t="s">
        <v>42</v>
      </c>
      <c r="AR113" s="17" t="s">
        <v>43</v>
      </c>
      <c r="AS113" s="17" t="s">
        <v>44</v>
      </c>
      <c r="AT113" s="17" t="s">
        <v>45</v>
      </c>
    </row>
    <row r="114" spans="1:46" x14ac:dyDescent="0.25">
      <c r="A114" s="18" t="s">
        <v>46</v>
      </c>
      <c r="B114" s="19">
        <f t="array" ref="B114:AT158">_xlfn.MUNIT(45)</f>
        <v>1</v>
      </c>
      <c r="C114" s="20">
        <v>0</v>
      </c>
      <c r="D114" s="20">
        <v>0</v>
      </c>
      <c r="E114" s="20">
        <v>0</v>
      </c>
      <c r="F114" s="20">
        <v>0</v>
      </c>
      <c r="G114" s="20">
        <v>0</v>
      </c>
      <c r="H114" s="20">
        <v>0</v>
      </c>
      <c r="I114" s="20">
        <v>0</v>
      </c>
      <c r="J114" s="20">
        <v>0</v>
      </c>
      <c r="K114" s="20">
        <v>0</v>
      </c>
      <c r="L114" s="20">
        <v>0</v>
      </c>
      <c r="M114" s="20">
        <v>0</v>
      </c>
      <c r="N114" s="20">
        <v>0</v>
      </c>
      <c r="O114" s="20">
        <v>0</v>
      </c>
      <c r="P114" s="20">
        <v>0</v>
      </c>
      <c r="Q114" s="20">
        <v>0</v>
      </c>
      <c r="R114" s="20">
        <v>0</v>
      </c>
      <c r="S114" s="20">
        <v>0</v>
      </c>
      <c r="T114" s="20">
        <v>0</v>
      </c>
      <c r="U114" s="20">
        <v>0</v>
      </c>
      <c r="V114" s="20">
        <v>0</v>
      </c>
      <c r="W114" s="20">
        <v>0</v>
      </c>
      <c r="X114" s="20">
        <v>0</v>
      </c>
      <c r="Y114" s="20">
        <v>0</v>
      </c>
      <c r="Z114" s="20">
        <v>0</v>
      </c>
      <c r="AA114" s="20">
        <v>0</v>
      </c>
      <c r="AB114" s="20">
        <v>0</v>
      </c>
      <c r="AC114" s="20">
        <v>0</v>
      </c>
      <c r="AD114" s="20">
        <v>0</v>
      </c>
      <c r="AE114" s="20">
        <v>0</v>
      </c>
      <c r="AF114" s="20">
        <v>0</v>
      </c>
      <c r="AG114" s="20">
        <v>0</v>
      </c>
      <c r="AH114" s="20">
        <v>0</v>
      </c>
      <c r="AI114" s="20">
        <v>0</v>
      </c>
      <c r="AJ114" s="20">
        <v>0</v>
      </c>
      <c r="AK114" s="20">
        <v>0</v>
      </c>
      <c r="AL114" s="20">
        <v>0</v>
      </c>
      <c r="AM114" s="20">
        <v>0</v>
      </c>
      <c r="AN114" s="20">
        <v>0</v>
      </c>
      <c r="AO114" s="20">
        <v>0</v>
      </c>
      <c r="AP114" s="20">
        <v>0</v>
      </c>
      <c r="AQ114" s="20">
        <v>0</v>
      </c>
      <c r="AR114" s="20">
        <v>0</v>
      </c>
      <c r="AS114" s="20">
        <v>0</v>
      </c>
      <c r="AT114" s="21">
        <v>0</v>
      </c>
    </row>
    <row r="115" spans="1:46" x14ac:dyDescent="0.25">
      <c r="A115" s="18" t="s">
        <v>47</v>
      </c>
      <c r="B115" s="22">
        <v>0</v>
      </c>
      <c r="C115" s="5">
        <v>1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  <c r="AD115" s="5">
        <v>0</v>
      </c>
      <c r="AE115" s="5">
        <v>0</v>
      </c>
      <c r="AF115" s="5">
        <v>0</v>
      </c>
      <c r="AG115" s="5">
        <v>0</v>
      </c>
      <c r="AH115" s="5">
        <v>0</v>
      </c>
      <c r="AI115" s="5">
        <v>0</v>
      </c>
      <c r="AJ115" s="5">
        <v>0</v>
      </c>
      <c r="AK115" s="5">
        <v>0</v>
      </c>
      <c r="AL115" s="5">
        <v>0</v>
      </c>
      <c r="AM115" s="5">
        <v>0</v>
      </c>
      <c r="AN115" s="5">
        <v>0</v>
      </c>
      <c r="AO115" s="5">
        <v>0</v>
      </c>
      <c r="AP115" s="5">
        <v>0</v>
      </c>
      <c r="AQ115" s="5">
        <v>0</v>
      </c>
      <c r="AR115" s="5">
        <v>0</v>
      </c>
      <c r="AS115" s="5">
        <v>0</v>
      </c>
      <c r="AT115" s="13">
        <v>0</v>
      </c>
    </row>
    <row r="116" spans="1:46" x14ac:dyDescent="0.25">
      <c r="A116" s="18" t="s">
        <v>48</v>
      </c>
      <c r="B116" s="22">
        <v>0</v>
      </c>
      <c r="C116" s="4">
        <v>0</v>
      </c>
      <c r="D116" s="4">
        <v>1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0</v>
      </c>
      <c r="AQ116" s="4">
        <v>0</v>
      </c>
      <c r="AR116" s="4">
        <v>0</v>
      </c>
      <c r="AS116" s="4">
        <v>0</v>
      </c>
      <c r="AT116" s="12">
        <v>0</v>
      </c>
    </row>
    <row r="117" spans="1:46" x14ac:dyDescent="0.25">
      <c r="A117" s="18" t="s">
        <v>49</v>
      </c>
      <c r="B117" s="22">
        <v>0</v>
      </c>
      <c r="C117" s="5">
        <v>0</v>
      </c>
      <c r="D117" s="5">
        <v>0</v>
      </c>
      <c r="E117" s="5">
        <v>1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5">
        <v>0</v>
      </c>
      <c r="AE117" s="5">
        <v>0</v>
      </c>
      <c r="AF117" s="5">
        <v>0</v>
      </c>
      <c r="AG117" s="5">
        <v>0</v>
      </c>
      <c r="AH117" s="5">
        <v>0</v>
      </c>
      <c r="AI117" s="5">
        <v>0</v>
      </c>
      <c r="AJ117" s="5">
        <v>0</v>
      </c>
      <c r="AK117" s="5">
        <v>0</v>
      </c>
      <c r="AL117" s="5">
        <v>0</v>
      </c>
      <c r="AM117" s="5">
        <v>0</v>
      </c>
      <c r="AN117" s="5">
        <v>0</v>
      </c>
      <c r="AO117" s="5">
        <v>0</v>
      </c>
      <c r="AP117" s="5">
        <v>0</v>
      </c>
      <c r="AQ117" s="5">
        <v>0</v>
      </c>
      <c r="AR117" s="5">
        <v>0</v>
      </c>
      <c r="AS117" s="5">
        <v>0</v>
      </c>
      <c r="AT117" s="13">
        <v>0</v>
      </c>
    </row>
    <row r="118" spans="1:46" x14ac:dyDescent="0.25">
      <c r="A118" s="18" t="s">
        <v>50</v>
      </c>
      <c r="B118" s="22">
        <v>0</v>
      </c>
      <c r="C118" s="4">
        <v>0</v>
      </c>
      <c r="D118" s="4">
        <v>0</v>
      </c>
      <c r="E118" s="4">
        <v>0</v>
      </c>
      <c r="F118" s="4">
        <v>1</v>
      </c>
      <c r="G118" s="4">
        <v>0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R118" s="4">
        <v>0</v>
      </c>
      <c r="AS118" s="4">
        <v>0</v>
      </c>
      <c r="AT118" s="12">
        <v>0</v>
      </c>
    </row>
    <row r="119" spans="1:46" x14ac:dyDescent="0.25">
      <c r="A119" s="18" t="s">
        <v>51</v>
      </c>
      <c r="B119" s="22">
        <v>0</v>
      </c>
      <c r="C119" s="5">
        <v>0</v>
      </c>
      <c r="D119" s="5">
        <v>0</v>
      </c>
      <c r="E119" s="5">
        <v>0</v>
      </c>
      <c r="F119" s="5">
        <v>0</v>
      </c>
      <c r="G119" s="5">
        <v>1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5">
        <v>0</v>
      </c>
      <c r="AE119" s="5">
        <v>0</v>
      </c>
      <c r="AF119" s="5">
        <v>0</v>
      </c>
      <c r="AG119" s="5">
        <v>0</v>
      </c>
      <c r="AH119" s="5">
        <v>0</v>
      </c>
      <c r="AI119" s="5">
        <v>0</v>
      </c>
      <c r="AJ119" s="5">
        <v>0</v>
      </c>
      <c r="AK119" s="5">
        <v>0</v>
      </c>
      <c r="AL119" s="5">
        <v>0</v>
      </c>
      <c r="AM119" s="5">
        <v>0</v>
      </c>
      <c r="AN119" s="5">
        <v>0</v>
      </c>
      <c r="AO119" s="5">
        <v>0</v>
      </c>
      <c r="AP119" s="5">
        <v>0</v>
      </c>
      <c r="AQ119" s="5">
        <v>0</v>
      </c>
      <c r="AR119" s="5">
        <v>0</v>
      </c>
      <c r="AS119" s="5">
        <v>0</v>
      </c>
      <c r="AT119" s="13">
        <v>0</v>
      </c>
    </row>
    <row r="120" spans="1:46" x14ac:dyDescent="0.25">
      <c r="A120" s="18" t="s">
        <v>52</v>
      </c>
      <c r="B120" s="22">
        <v>0</v>
      </c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1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12">
        <v>0</v>
      </c>
    </row>
    <row r="121" spans="1:46" x14ac:dyDescent="0.25">
      <c r="A121" s="18" t="s">
        <v>53</v>
      </c>
      <c r="B121" s="22">
        <v>0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1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5">
        <v>0</v>
      </c>
      <c r="AE121" s="5">
        <v>0</v>
      </c>
      <c r="AF121" s="5">
        <v>0</v>
      </c>
      <c r="AG121" s="5">
        <v>0</v>
      </c>
      <c r="AH121" s="5">
        <v>0</v>
      </c>
      <c r="AI121" s="5">
        <v>0</v>
      </c>
      <c r="AJ121" s="5">
        <v>0</v>
      </c>
      <c r="AK121" s="5">
        <v>0</v>
      </c>
      <c r="AL121" s="5">
        <v>0</v>
      </c>
      <c r="AM121" s="5">
        <v>0</v>
      </c>
      <c r="AN121" s="5">
        <v>0</v>
      </c>
      <c r="AO121" s="5">
        <v>0</v>
      </c>
      <c r="AP121" s="5">
        <v>0</v>
      </c>
      <c r="AQ121" s="5">
        <v>0</v>
      </c>
      <c r="AR121" s="5">
        <v>0</v>
      </c>
      <c r="AS121" s="5">
        <v>0</v>
      </c>
      <c r="AT121" s="13">
        <v>0</v>
      </c>
    </row>
    <row r="122" spans="1:46" x14ac:dyDescent="0.25">
      <c r="A122" s="18" t="s">
        <v>54</v>
      </c>
      <c r="B122" s="22">
        <v>0</v>
      </c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1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0</v>
      </c>
      <c r="AQ122" s="4">
        <v>0</v>
      </c>
      <c r="AR122" s="4">
        <v>0</v>
      </c>
      <c r="AS122" s="4">
        <v>0</v>
      </c>
      <c r="AT122" s="12">
        <v>0</v>
      </c>
    </row>
    <row r="123" spans="1:46" x14ac:dyDescent="0.25">
      <c r="A123" s="18" t="s">
        <v>55</v>
      </c>
      <c r="B123" s="22">
        <v>0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1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>
        <v>0</v>
      </c>
      <c r="AN123" s="5">
        <v>0</v>
      </c>
      <c r="AO123" s="5">
        <v>0</v>
      </c>
      <c r="AP123" s="5">
        <v>0</v>
      </c>
      <c r="AQ123" s="5">
        <v>0</v>
      </c>
      <c r="AR123" s="5">
        <v>0</v>
      </c>
      <c r="AS123" s="5">
        <v>0</v>
      </c>
      <c r="AT123" s="13">
        <v>0</v>
      </c>
    </row>
    <row r="124" spans="1:46" x14ac:dyDescent="0.25">
      <c r="A124" s="18" t="s">
        <v>56</v>
      </c>
      <c r="B124" s="22">
        <v>0</v>
      </c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1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12">
        <v>0</v>
      </c>
    </row>
    <row r="125" spans="1:46" x14ac:dyDescent="0.25">
      <c r="A125" s="18" t="s">
        <v>57</v>
      </c>
      <c r="B125" s="22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1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5">
        <v>0</v>
      </c>
      <c r="AM125" s="5">
        <v>0</v>
      </c>
      <c r="AN125" s="5">
        <v>0</v>
      </c>
      <c r="AO125" s="5">
        <v>0</v>
      </c>
      <c r="AP125" s="5">
        <v>0</v>
      </c>
      <c r="AQ125" s="5">
        <v>0</v>
      </c>
      <c r="AR125" s="5">
        <v>0</v>
      </c>
      <c r="AS125" s="5">
        <v>0</v>
      </c>
      <c r="AT125" s="13">
        <v>0</v>
      </c>
    </row>
    <row r="126" spans="1:46" x14ac:dyDescent="0.25">
      <c r="A126" s="18" t="s">
        <v>58</v>
      </c>
      <c r="B126" s="22">
        <v>0</v>
      </c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4">
        <v>1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12">
        <v>0</v>
      </c>
    </row>
    <row r="127" spans="1:46" x14ac:dyDescent="0.25">
      <c r="A127" s="18" t="s">
        <v>59</v>
      </c>
      <c r="B127" s="22">
        <v>0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1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5">
        <v>0</v>
      </c>
      <c r="AN127" s="5">
        <v>0</v>
      </c>
      <c r="AO127" s="5">
        <v>0</v>
      </c>
      <c r="AP127" s="5">
        <v>0</v>
      </c>
      <c r="AQ127" s="5">
        <v>0</v>
      </c>
      <c r="AR127" s="5">
        <v>0</v>
      </c>
      <c r="AS127" s="5">
        <v>0</v>
      </c>
      <c r="AT127" s="13">
        <v>0</v>
      </c>
    </row>
    <row r="128" spans="1:46" x14ac:dyDescent="0.25">
      <c r="A128" s="18" t="s">
        <v>60</v>
      </c>
      <c r="B128" s="22">
        <v>0</v>
      </c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1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12">
        <v>0</v>
      </c>
    </row>
    <row r="129" spans="1:46" x14ac:dyDescent="0.25">
      <c r="A129" s="18" t="s">
        <v>61</v>
      </c>
      <c r="B129" s="22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1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5">
        <v>0</v>
      </c>
      <c r="AH129" s="5">
        <v>0</v>
      </c>
      <c r="AI129" s="5">
        <v>0</v>
      </c>
      <c r="AJ129" s="5">
        <v>0</v>
      </c>
      <c r="AK129" s="5">
        <v>0</v>
      </c>
      <c r="AL129" s="5">
        <v>0</v>
      </c>
      <c r="AM129" s="5">
        <v>0</v>
      </c>
      <c r="AN129" s="5">
        <v>0</v>
      </c>
      <c r="AO129" s="5">
        <v>0</v>
      </c>
      <c r="AP129" s="5">
        <v>0</v>
      </c>
      <c r="AQ129" s="5">
        <v>0</v>
      </c>
      <c r="AR129" s="5">
        <v>0</v>
      </c>
      <c r="AS129" s="5">
        <v>0</v>
      </c>
      <c r="AT129" s="13">
        <v>0</v>
      </c>
    </row>
    <row r="130" spans="1:46" x14ac:dyDescent="0.25">
      <c r="A130" s="18" t="s">
        <v>62</v>
      </c>
      <c r="B130" s="22">
        <v>0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1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12">
        <v>0</v>
      </c>
    </row>
    <row r="131" spans="1:46" x14ac:dyDescent="0.25">
      <c r="A131" s="18" t="s">
        <v>63</v>
      </c>
      <c r="B131" s="22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1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  <c r="AK131" s="5">
        <v>0</v>
      </c>
      <c r="AL131" s="5">
        <v>0</v>
      </c>
      <c r="AM131" s="5">
        <v>0</v>
      </c>
      <c r="AN131" s="5">
        <v>0</v>
      </c>
      <c r="AO131" s="5">
        <v>0</v>
      </c>
      <c r="AP131" s="5">
        <v>0</v>
      </c>
      <c r="AQ131" s="5">
        <v>0</v>
      </c>
      <c r="AR131" s="5">
        <v>0</v>
      </c>
      <c r="AS131" s="5">
        <v>0</v>
      </c>
      <c r="AT131" s="13">
        <v>0</v>
      </c>
    </row>
    <row r="132" spans="1:46" x14ac:dyDescent="0.25">
      <c r="A132" s="18" t="s">
        <v>64</v>
      </c>
      <c r="B132" s="22">
        <v>0</v>
      </c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1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12">
        <v>0</v>
      </c>
    </row>
    <row r="133" spans="1:46" x14ac:dyDescent="0.25">
      <c r="A133" s="18" t="s">
        <v>65</v>
      </c>
      <c r="B133" s="22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1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  <c r="AH133" s="5">
        <v>0</v>
      </c>
      <c r="AI133" s="5">
        <v>0</v>
      </c>
      <c r="AJ133" s="5">
        <v>0</v>
      </c>
      <c r="AK133" s="5">
        <v>0</v>
      </c>
      <c r="AL133" s="5">
        <v>0</v>
      </c>
      <c r="AM133" s="5">
        <v>0</v>
      </c>
      <c r="AN133" s="5">
        <v>0</v>
      </c>
      <c r="AO133" s="5">
        <v>0</v>
      </c>
      <c r="AP133" s="5">
        <v>0</v>
      </c>
      <c r="AQ133" s="5">
        <v>0</v>
      </c>
      <c r="AR133" s="5">
        <v>0</v>
      </c>
      <c r="AS133" s="5">
        <v>0</v>
      </c>
      <c r="AT133" s="13">
        <v>0</v>
      </c>
    </row>
    <row r="134" spans="1:46" x14ac:dyDescent="0.25">
      <c r="A134" s="18" t="s">
        <v>66</v>
      </c>
      <c r="B134" s="22">
        <v>0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1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12">
        <v>0</v>
      </c>
    </row>
    <row r="135" spans="1:46" x14ac:dyDescent="0.25">
      <c r="A135" s="18" t="s">
        <v>67</v>
      </c>
      <c r="B135" s="22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1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0</v>
      </c>
      <c r="AN135" s="5">
        <v>0</v>
      </c>
      <c r="AO135" s="5">
        <v>0</v>
      </c>
      <c r="AP135" s="5">
        <v>0</v>
      </c>
      <c r="AQ135" s="5">
        <v>0</v>
      </c>
      <c r="AR135" s="5">
        <v>0</v>
      </c>
      <c r="AS135" s="5">
        <v>0</v>
      </c>
      <c r="AT135" s="13">
        <v>0</v>
      </c>
    </row>
    <row r="136" spans="1:46" x14ac:dyDescent="0.25">
      <c r="A136" s="18" t="s">
        <v>68</v>
      </c>
      <c r="B136" s="22">
        <v>0</v>
      </c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1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12">
        <v>0</v>
      </c>
    </row>
    <row r="137" spans="1:46" x14ac:dyDescent="0.25">
      <c r="A137" s="18" t="s">
        <v>69</v>
      </c>
      <c r="B137" s="22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1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13">
        <v>0</v>
      </c>
    </row>
    <row r="138" spans="1:46" x14ac:dyDescent="0.25">
      <c r="A138" s="18" t="s">
        <v>70</v>
      </c>
      <c r="B138" s="22">
        <v>0</v>
      </c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1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12">
        <v>0</v>
      </c>
    </row>
    <row r="139" spans="1:46" x14ac:dyDescent="0.25">
      <c r="A139" s="18" t="s">
        <v>71</v>
      </c>
      <c r="B139" s="22">
        <v>0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1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0</v>
      </c>
      <c r="AH139" s="5">
        <v>0</v>
      </c>
      <c r="AI139" s="5">
        <v>0</v>
      </c>
      <c r="AJ139" s="5">
        <v>0</v>
      </c>
      <c r="AK139" s="5">
        <v>0</v>
      </c>
      <c r="AL139" s="5">
        <v>0</v>
      </c>
      <c r="AM139" s="5">
        <v>0</v>
      </c>
      <c r="AN139" s="5">
        <v>0</v>
      </c>
      <c r="AO139" s="5">
        <v>0</v>
      </c>
      <c r="AP139" s="5">
        <v>0</v>
      </c>
      <c r="AQ139" s="5">
        <v>0</v>
      </c>
      <c r="AR139" s="5">
        <v>0</v>
      </c>
      <c r="AS139" s="5">
        <v>0</v>
      </c>
      <c r="AT139" s="13">
        <v>0</v>
      </c>
    </row>
    <row r="140" spans="1:46" x14ac:dyDescent="0.25">
      <c r="A140" s="18" t="s">
        <v>72</v>
      </c>
      <c r="B140" s="22">
        <v>0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1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12">
        <v>0</v>
      </c>
    </row>
    <row r="141" spans="1:46" x14ac:dyDescent="0.25">
      <c r="A141" s="18" t="s">
        <v>73</v>
      </c>
      <c r="B141" s="22">
        <v>0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1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0</v>
      </c>
      <c r="AO141" s="5">
        <v>0</v>
      </c>
      <c r="AP141" s="5">
        <v>0</v>
      </c>
      <c r="AQ141" s="5">
        <v>0</v>
      </c>
      <c r="AR141" s="5">
        <v>0</v>
      </c>
      <c r="AS141" s="5">
        <v>0</v>
      </c>
      <c r="AT141" s="13">
        <v>0</v>
      </c>
    </row>
    <row r="142" spans="1:46" x14ac:dyDescent="0.25">
      <c r="A142" s="18" t="s">
        <v>74</v>
      </c>
      <c r="B142" s="22">
        <v>0</v>
      </c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1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12">
        <v>0</v>
      </c>
    </row>
    <row r="143" spans="1:46" x14ac:dyDescent="0.25">
      <c r="A143" s="18" t="s">
        <v>75</v>
      </c>
      <c r="B143" s="22">
        <v>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1</v>
      </c>
      <c r="AF143" s="5">
        <v>0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  <c r="AL143" s="5">
        <v>0</v>
      </c>
      <c r="AM143" s="5">
        <v>0</v>
      </c>
      <c r="AN143" s="5">
        <v>0</v>
      </c>
      <c r="AO143" s="5">
        <v>0</v>
      </c>
      <c r="AP143" s="5">
        <v>0</v>
      </c>
      <c r="AQ143" s="5">
        <v>0</v>
      </c>
      <c r="AR143" s="5">
        <v>0</v>
      </c>
      <c r="AS143" s="5">
        <v>0</v>
      </c>
      <c r="AT143" s="13">
        <v>0</v>
      </c>
    </row>
    <row r="144" spans="1:46" x14ac:dyDescent="0.25">
      <c r="A144" s="18" t="s">
        <v>76</v>
      </c>
      <c r="B144" s="22">
        <v>0</v>
      </c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1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12">
        <v>0</v>
      </c>
    </row>
    <row r="145" spans="1:46" x14ac:dyDescent="0.25">
      <c r="A145" s="18" t="s">
        <v>77</v>
      </c>
      <c r="B145" s="22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1</v>
      </c>
      <c r="AH145" s="5">
        <v>0</v>
      </c>
      <c r="AI145" s="5">
        <v>0</v>
      </c>
      <c r="AJ145" s="5">
        <v>0</v>
      </c>
      <c r="AK145" s="5">
        <v>0</v>
      </c>
      <c r="AL145" s="5">
        <v>0</v>
      </c>
      <c r="AM145" s="5">
        <v>0</v>
      </c>
      <c r="AN145" s="5">
        <v>0</v>
      </c>
      <c r="AO145" s="5">
        <v>0</v>
      </c>
      <c r="AP145" s="5">
        <v>0</v>
      </c>
      <c r="AQ145" s="5">
        <v>0</v>
      </c>
      <c r="AR145" s="5">
        <v>0</v>
      </c>
      <c r="AS145" s="5">
        <v>0</v>
      </c>
      <c r="AT145" s="13">
        <v>0</v>
      </c>
    </row>
    <row r="146" spans="1:46" x14ac:dyDescent="0.25">
      <c r="A146" s="18" t="s">
        <v>78</v>
      </c>
      <c r="B146" s="22">
        <v>0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1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12">
        <v>0</v>
      </c>
    </row>
    <row r="147" spans="1:46" x14ac:dyDescent="0.25">
      <c r="A147" s="18" t="s">
        <v>79</v>
      </c>
      <c r="B147" s="22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5">
        <v>0</v>
      </c>
      <c r="AH147" s="5">
        <v>0</v>
      </c>
      <c r="AI147" s="5">
        <v>1</v>
      </c>
      <c r="AJ147" s="5">
        <v>0</v>
      </c>
      <c r="AK147" s="5">
        <v>0</v>
      </c>
      <c r="AL147" s="5">
        <v>0</v>
      </c>
      <c r="AM147" s="5">
        <v>0</v>
      </c>
      <c r="AN147" s="5">
        <v>0</v>
      </c>
      <c r="AO147" s="5">
        <v>0</v>
      </c>
      <c r="AP147" s="5">
        <v>0</v>
      </c>
      <c r="AQ147" s="5">
        <v>0</v>
      </c>
      <c r="AR147" s="5">
        <v>0</v>
      </c>
      <c r="AS147" s="5">
        <v>0</v>
      </c>
      <c r="AT147" s="13">
        <v>0</v>
      </c>
    </row>
    <row r="148" spans="1:46" x14ac:dyDescent="0.25">
      <c r="A148" s="18" t="s">
        <v>80</v>
      </c>
      <c r="B148" s="22">
        <v>0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1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12">
        <v>0</v>
      </c>
    </row>
    <row r="149" spans="1:46" x14ac:dyDescent="0.25">
      <c r="A149" s="18" t="s">
        <v>81</v>
      </c>
      <c r="B149" s="22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0</v>
      </c>
      <c r="AH149" s="5">
        <v>0</v>
      </c>
      <c r="AI149" s="5">
        <v>0</v>
      </c>
      <c r="AJ149" s="5">
        <v>0</v>
      </c>
      <c r="AK149" s="5">
        <v>1</v>
      </c>
      <c r="AL149" s="5">
        <v>0</v>
      </c>
      <c r="AM149" s="5">
        <v>0</v>
      </c>
      <c r="AN149" s="5">
        <v>0</v>
      </c>
      <c r="AO149" s="5">
        <v>0</v>
      </c>
      <c r="AP149" s="5">
        <v>0</v>
      </c>
      <c r="AQ149" s="5">
        <v>0</v>
      </c>
      <c r="AR149" s="5">
        <v>0</v>
      </c>
      <c r="AS149" s="5">
        <v>0</v>
      </c>
      <c r="AT149" s="13">
        <v>0</v>
      </c>
    </row>
    <row r="150" spans="1:46" x14ac:dyDescent="0.25">
      <c r="A150" s="18" t="s">
        <v>82</v>
      </c>
      <c r="B150" s="22">
        <v>0</v>
      </c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1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12">
        <v>0</v>
      </c>
    </row>
    <row r="151" spans="1:46" x14ac:dyDescent="0.25">
      <c r="A151" s="18" t="s">
        <v>83</v>
      </c>
      <c r="B151" s="22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0</v>
      </c>
      <c r="AH151" s="5">
        <v>0</v>
      </c>
      <c r="AI151" s="5">
        <v>0</v>
      </c>
      <c r="AJ151" s="5">
        <v>0</v>
      </c>
      <c r="AK151" s="5">
        <v>0</v>
      </c>
      <c r="AL151" s="5">
        <v>0</v>
      </c>
      <c r="AM151" s="5">
        <v>1</v>
      </c>
      <c r="AN151" s="5">
        <v>0</v>
      </c>
      <c r="AO151" s="5">
        <v>0</v>
      </c>
      <c r="AP151" s="5">
        <v>0</v>
      </c>
      <c r="AQ151" s="5">
        <v>0</v>
      </c>
      <c r="AR151" s="5">
        <v>0</v>
      </c>
      <c r="AS151" s="5">
        <v>0</v>
      </c>
      <c r="AT151" s="13">
        <v>0</v>
      </c>
    </row>
    <row r="152" spans="1:46" x14ac:dyDescent="0.25">
      <c r="A152" s="18" t="s">
        <v>84</v>
      </c>
      <c r="B152" s="22">
        <v>0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1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12">
        <v>0</v>
      </c>
    </row>
    <row r="153" spans="1:46" x14ac:dyDescent="0.25">
      <c r="A153" s="18" t="s">
        <v>85</v>
      </c>
      <c r="B153" s="22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0</v>
      </c>
      <c r="AG153" s="5">
        <v>0</v>
      </c>
      <c r="AH153" s="5">
        <v>0</v>
      </c>
      <c r="AI153" s="5">
        <v>0</v>
      </c>
      <c r="AJ153" s="5">
        <v>0</v>
      </c>
      <c r="AK153" s="5">
        <v>0</v>
      </c>
      <c r="AL153" s="5">
        <v>0</v>
      </c>
      <c r="AM153" s="5">
        <v>0</v>
      </c>
      <c r="AN153" s="5">
        <v>0</v>
      </c>
      <c r="AO153" s="5">
        <v>1</v>
      </c>
      <c r="AP153" s="5">
        <v>0</v>
      </c>
      <c r="AQ153" s="5">
        <v>0</v>
      </c>
      <c r="AR153" s="5">
        <v>0</v>
      </c>
      <c r="AS153" s="5">
        <v>0</v>
      </c>
      <c r="AT153" s="13">
        <v>0</v>
      </c>
    </row>
    <row r="154" spans="1:46" x14ac:dyDescent="0.25">
      <c r="A154" s="18" t="s">
        <v>86</v>
      </c>
      <c r="B154" s="22">
        <v>0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1</v>
      </c>
      <c r="AQ154" s="4">
        <v>0</v>
      </c>
      <c r="AR154" s="4">
        <v>0</v>
      </c>
      <c r="AS154" s="4">
        <v>0</v>
      </c>
      <c r="AT154" s="12">
        <v>0</v>
      </c>
    </row>
    <row r="155" spans="1:46" x14ac:dyDescent="0.25">
      <c r="A155" s="18" t="s">
        <v>87</v>
      </c>
      <c r="B155" s="22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  <c r="AL155" s="5">
        <v>0</v>
      </c>
      <c r="AM155" s="5">
        <v>0</v>
      </c>
      <c r="AN155" s="5">
        <v>0</v>
      </c>
      <c r="AO155" s="5">
        <v>0</v>
      </c>
      <c r="AP155" s="5">
        <v>0</v>
      </c>
      <c r="AQ155" s="5">
        <v>1</v>
      </c>
      <c r="AR155" s="5">
        <v>0</v>
      </c>
      <c r="AS155" s="5">
        <v>0</v>
      </c>
      <c r="AT155" s="13">
        <v>0</v>
      </c>
    </row>
    <row r="156" spans="1:46" x14ac:dyDescent="0.25">
      <c r="A156" s="18" t="s">
        <v>88</v>
      </c>
      <c r="B156" s="22">
        <v>0</v>
      </c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1</v>
      </c>
      <c r="AS156" s="4">
        <v>0</v>
      </c>
      <c r="AT156" s="12">
        <v>0</v>
      </c>
    </row>
    <row r="157" spans="1:46" x14ac:dyDescent="0.25">
      <c r="A157" s="18" t="s">
        <v>89</v>
      </c>
      <c r="B157" s="22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0</v>
      </c>
      <c r="AH157" s="5">
        <v>0</v>
      </c>
      <c r="AI157" s="5">
        <v>0</v>
      </c>
      <c r="AJ157" s="5">
        <v>0</v>
      </c>
      <c r="AK157" s="5">
        <v>0</v>
      </c>
      <c r="AL157" s="5">
        <v>0</v>
      </c>
      <c r="AM157" s="5">
        <v>0</v>
      </c>
      <c r="AN157" s="5">
        <v>0</v>
      </c>
      <c r="AO157" s="5">
        <v>0</v>
      </c>
      <c r="AP157" s="5">
        <v>0</v>
      </c>
      <c r="AQ157" s="5">
        <v>0</v>
      </c>
      <c r="AR157" s="5">
        <v>0</v>
      </c>
      <c r="AS157" s="5">
        <v>1</v>
      </c>
      <c r="AT157" s="13">
        <v>0</v>
      </c>
    </row>
    <row r="158" spans="1:46" ht="13" thickBot="1" x14ac:dyDescent="0.3">
      <c r="A158" s="18" t="s">
        <v>90</v>
      </c>
      <c r="B158" s="24">
        <v>0</v>
      </c>
      <c r="C158" s="25">
        <v>0</v>
      </c>
      <c r="D158" s="25">
        <v>0</v>
      </c>
      <c r="E158" s="25">
        <v>0</v>
      </c>
      <c r="F158" s="25">
        <v>0</v>
      </c>
      <c r="G158" s="25">
        <v>0</v>
      </c>
      <c r="H158" s="25">
        <v>0</v>
      </c>
      <c r="I158" s="25">
        <v>0</v>
      </c>
      <c r="J158" s="25">
        <v>0</v>
      </c>
      <c r="K158" s="25">
        <v>0</v>
      </c>
      <c r="L158" s="25">
        <v>0</v>
      </c>
      <c r="M158" s="25">
        <v>0</v>
      </c>
      <c r="N158" s="25">
        <v>0</v>
      </c>
      <c r="O158" s="25">
        <v>0</v>
      </c>
      <c r="P158" s="25">
        <v>0</v>
      </c>
      <c r="Q158" s="25">
        <v>0</v>
      </c>
      <c r="R158" s="25">
        <v>0</v>
      </c>
      <c r="S158" s="25">
        <v>0</v>
      </c>
      <c r="T158" s="25">
        <v>0</v>
      </c>
      <c r="U158" s="25">
        <v>0</v>
      </c>
      <c r="V158" s="25">
        <v>0</v>
      </c>
      <c r="W158" s="25">
        <v>0</v>
      </c>
      <c r="X158" s="25">
        <v>0</v>
      </c>
      <c r="Y158" s="25">
        <v>0</v>
      </c>
      <c r="Z158" s="25">
        <v>0</v>
      </c>
      <c r="AA158" s="25">
        <v>0</v>
      </c>
      <c r="AB158" s="25">
        <v>0</v>
      </c>
      <c r="AC158" s="25">
        <v>0</v>
      </c>
      <c r="AD158" s="25">
        <v>0</v>
      </c>
      <c r="AE158" s="25">
        <v>0</v>
      </c>
      <c r="AF158" s="25">
        <v>0</v>
      </c>
      <c r="AG158" s="25">
        <v>0</v>
      </c>
      <c r="AH158" s="25">
        <v>0</v>
      </c>
      <c r="AI158" s="25">
        <v>0</v>
      </c>
      <c r="AJ158" s="25">
        <v>0</v>
      </c>
      <c r="AK158" s="25">
        <v>0</v>
      </c>
      <c r="AL158" s="25">
        <v>0</v>
      </c>
      <c r="AM158" s="25">
        <v>0</v>
      </c>
      <c r="AN158" s="25">
        <v>0</v>
      </c>
      <c r="AO158" s="25">
        <v>0</v>
      </c>
      <c r="AP158" s="25">
        <v>0</v>
      </c>
      <c r="AQ158" s="25">
        <v>0</v>
      </c>
      <c r="AR158" s="25">
        <v>0</v>
      </c>
      <c r="AS158" s="25">
        <v>0</v>
      </c>
      <c r="AT158" s="26">
        <v>1</v>
      </c>
    </row>
    <row r="163" spans="1:46" ht="121" thickBot="1" x14ac:dyDescent="0.3">
      <c r="A163" s="28" t="s">
        <v>97</v>
      </c>
      <c r="B163" s="17" t="s">
        <v>1</v>
      </c>
      <c r="C163" s="17" t="s">
        <v>2</v>
      </c>
      <c r="D163" s="17" t="s">
        <v>3</v>
      </c>
      <c r="E163" s="17" t="s">
        <v>4</v>
      </c>
      <c r="F163" s="17" t="s">
        <v>5</v>
      </c>
      <c r="G163" s="17" t="s">
        <v>6</v>
      </c>
      <c r="H163" s="17" t="s">
        <v>7</v>
      </c>
      <c r="I163" s="17" t="s">
        <v>8</v>
      </c>
      <c r="J163" s="17" t="s">
        <v>9</v>
      </c>
      <c r="K163" s="17" t="s">
        <v>10</v>
      </c>
      <c r="L163" s="17" t="s">
        <v>11</v>
      </c>
      <c r="M163" s="17" t="s">
        <v>12</v>
      </c>
      <c r="N163" s="17" t="s">
        <v>13</v>
      </c>
      <c r="O163" s="17" t="s">
        <v>14</v>
      </c>
      <c r="P163" s="17" t="s">
        <v>15</v>
      </c>
      <c r="Q163" s="17" t="s">
        <v>16</v>
      </c>
      <c r="R163" s="17" t="s">
        <v>17</v>
      </c>
      <c r="S163" s="17" t="s">
        <v>18</v>
      </c>
      <c r="T163" s="17" t="s">
        <v>19</v>
      </c>
      <c r="U163" s="17" t="s">
        <v>20</v>
      </c>
      <c r="V163" s="17" t="s">
        <v>21</v>
      </c>
      <c r="W163" s="17" t="s">
        <v>22</v>
      </c>
      <c r="X163" s="17" t="s">
        <v>23</v>
      </c>
      <c r="Y163" s="17" t="s">
        <v>24</v>
      </c>
      <c r="Z163" s="17" t="s">
        <v>25</v>
      </c>
      <c r="AA163" s="17" t="s">
        <v>26</v>
      </c>
      <c r="AB163" s="17" t="s">
        <v>27</v>
      </c>
      <c r="AC163" s="17" t="s">
        <v>28</v>
      </c>
      <c r="AD163" s="17" t="s">
        <v>29</v>
      </c>
      <c r="AE163" s="17" t="s">
        <v>30</v>
      </c>
      <c r="AF163" s="17" t="s">
        <v>31</v>
      </c>
      <c r="AG163" s="17" t="s">
        <v>32</v>
      </c>
      <c r="AH163" s="17" t="s">
        <v>33</v>
      </c>
      <c r="AI163" s="17" t="s">
        <v>34</v>
      </c>
      <c r="AJ163" s="17" t="s">
        <v>35</v>
      </c>
      <c r="AK163" s="17" t="s">
        <v>36</v>
      </c>
      <c r="AL163" s="17" t="s">
        <v>37</v>
      </c>
      <c r="AM163" s="17" t="s">
        <v>38</v>
      </c>
      <c r="AN163" s="17" t="s">
        <v>39</v>
      </c>
      <c r="AO163" s="17" t="s">
        <v>40</v>
      </c>
      <c r="AP163" s="17" t="s">
        <v>41</v>
      </c>
      <c r="AQ163" s="17" t="s">
        <v>42</v>
      </c>
      <c r="AR163" s="17" t="s">
        <v>43</v>
      </c>
      <c r="AS163" s="17" t="s">
        <v>44</v>
      </c>
      <c r="AT163" s="17" t="s">
        <v>45</v>
      </c>
    </row>
    <row r="164" spans="1:46" x14ac:dyDescent="0.25">
      <c r="A164" s="18" t="s">
        <v>46</v>
      </c>
      <c r="B164" s="19">
        <f>B114-B58</f>
        <v>0.89073719311488098</v>
      </c>
      <c r="C164" s="20">
        <f t="shared" ref="C164:AT164" si="14">C114-C58</f>
        <v>-7.8089412377171854E-4</v>
      </c>
      <c r="D164" s="20">
        <f t="shared" si="14"/>
        <v>0</v>
      </c>
      <c r="E164" s="20">
        <f t="shared" si="14"/>
        <v>-1.528748973756476E-3</v>
      </c>
      <c r="F164" s="20">
        <f t="shared" si="14"/>
        <v>-3.6868624800294946E-4</v>
      </c>
      <c r="G164" s="20">
        <f t="shared" si="14"/>
        <v>-0.32027999020881581</v>
      </c>
      <c r="H164" s="20">
        <f t="shared" si="14"/>
        <v>-9.6092042679007585E-3</v>
      </c>
      <c r="I164" s="20">
        <f t="shared" si="14"/>
        <v>-0.10142598915444868</v>
      </c>
      <c r="J164" s="20">
        <f t="shared" si="14"/>
        <v>-4.1392465426800189E-2</v>
      </c>
      <c r="K164" s="20">
        <f t="shared" si="14"/>
        <v>0</v>
      </c>
      <c r="L164" s="20">
        <f t="shared" si="14"/>
        <v>-2.1755776766812306E-2</v>
      </c>
      <c r="M164" s="20">
        <f t="shared" si="14"/>
        <v>-3.4582999198075379E-2</v>
      </c>
      <c r="N164" s="20">
        <f t="shared" si="14"/>
        <v>-9.6398305084745752E-3</v>
      </c>
      <c r="O164" s="20">
        <f t="shared" si="14"/>
        <v>-1.6484200049763623E-3</v>
      </c>
      <c r="P164" s="20">
        <f t="shared" si="14"/>
        <v>-6.5192317336141626E-4</v>
      </c>
      <c r="Q164" s="20">
        <f t="shared" si="14"/>
        <v>-5.9982862039417305E-4</v>
      </c>
      <c r="R164" s="20">
        <f t="shared" si="14"/>
        <v>-4.9640109208240262E-4</v>
      </c>
      <c r="S164" s="20">
        <f t="shared" si="14"/>
        <v>-4.8268029528676887E-4</v>
      </c>
      <c r="T164" s="20">
        <f t="shared" si="14"/>
        <v>-6.8073519400953036E-4</v>
      </c>
      <c r="U164" s="20">
        <f t="shared" si="14"/>
        <v>-5.3569037096558195E-4</v>
      </c>
      <c r="V164" s="20">
        <f t="shared" si="14"/>
        <v>-5.3533190578158455E-3</v>
      </c>
      <c r="W164" s="20">
        <f t="shared" si="14"/>
        <v>-4.4485350513882495E-3</v>
      </c>
      <c r="X164" s="20">
        <f t="shared" si="14"/>
        <v>-4.3608137278416151E-4</v>
      </c>
      <c r="Y164" s="20">
        <f t="shared" si="14"/>
        <v>-2.8003360403248392E-4</v>
      </c>
      <c r="Z164" s="20">
        <f t="shared" si="14"/>
        <v>-5.4335392358727979E-4</v>
      </c>
      <c r="AA164" s="20">
        <f t="shared" si="14"/>
        <v>-1.1499098680002325E-2</v>
      </c>
      <c r="AB164" s="20">
        <f t="shared" si="14"/>
        <v>-8.6401005393517297E-4</v>
      </c>
      <c r="AC164" s="20">
        <f t="shared" si="14"/>
        <v>-1.7614494212380473E-3</v>
      </c>
      <c r="AD164" s="20">
        <f t="shared" si="14"/>
        <v>-1.1506652283351313E-3</v>
      </c>
      <c r="AE164" s="20">
        <f t="shared" si="14"/>
        <v>-1.0543227231649764E-3</v>
      </c>
      <c r="AF164" s="20">
        <f t="shared" si="14"/>
        <v>-2.8312570781426955E-4</v>
      </c>
      <c r="AG164" s="20">
        <f t="shared" si="14"/>
        <v>-3.3112908380245332E-2</v>
      </c>
      <c r="AH164" s="20">
        <f t="shared" si="14"/>
        <v>-5.472301734298704E-3</v>
      </c>
      <c r="AI164" s="20">
        <f t="shared" si="14"/>
        <v>-5.7028799543769608E-4</v>
      </c>
      <c r="AJ164" s="20">
        <f t="shared" si="14"/>
        <v>-5.1210768893115803E-4</v>
      </c>
      <c r="AK164" s="20">
        <f t="shared" si="14"/>
        <v>-1.2531851789966166E-4</v>
      </c>
      <c r="AL164" s="20">
        <f t="shared" si="14"/>
        <v>-3.1735956839098697E-4</v>
      </c>
      <c r="AM164" s="20">
        <f t="shared" si="14"/>
        <v>-9.2975206611570248E-4</v>
      </c>
      <c r="AN164" s="20">
        <f t="shared" si="14"/>
        <v>-1.3171511901401824E-3</v>
      </c>
      <c r="AO164" s="20">
        <f t="shared" si="14"/>
        <v>-1.329468281216806E-3</v>
      </c>
      <c r="AP164" s="20">
        <f t="shared" si="14"/>
        <v>-1.3812575537522471E-3</v>
      </c>
      <c r="AQ164" s="20">
        <f t="shared" si="14"/>
        <v>-2.3199453155747043E-3</v>
      </c>
      <c r="AR164" s="20">
        <f t="shared" si="14"/>
        <v>-6.9672924327462736E-3</v>
      </c>
      <c r="AS164" s="20">
        <f t="shared" si="14"/>
        <v>-6.41025641025641E-3</v>
      </c>
      <c r="AT164" s="21">
        <f t="shared" si="14"/>
        <v>0</v>
      </c>
    </row>
    <row r="165" spans="1:46" x14ac:dyDescent="0.25">
      <c r="A165" s="18" t="s">
        <v>47</v>
      </c>
      <c r="B165" s="22">
        <f t="shared" ref="B165:AT170" si="15">B115-B59</f>
        <v>-1.5191977871307706E-3</v>
      </c>
      <c r="C165" s="4">
        <f t="shared" si="15"/>
        <v>0.93791891716014841</v>
      </c>
      <c r="D165" s="4">
        <f t="shared" si="15"/>
        <v>0</v>
      </c>
      <c r="E165" s="4">
        <f t="shared" si="15"/>
        <v>0</v>
      </c>
      <c r="F165" s="4">
        <f t="shared" si="15"/>
        <v>0</v>
      </c>
      <c r="G165" s="4">
        <f t="shared" si="15"/>
        <v>-1.50492383588469E-2</v>
      </c>
      <c r="H165" s="4">
        <f t="shared" si="15"/>
        <v>-1.7675793803830829E-4</v>
      </c>
      <c r="I165" s="4">
        <f t="shared" si="15"/>
        <v>0</v>
      </c>
      <c r="J165" s="4">
        <f t="shared" si="15"/>
        <v>0</v>
      </c>
      <c r="K165" s="4">
        <f t="shared" si="15"/>
        <v>0</v>
      </c>
      <c r="L165" s="4">
        <f t="shared" si="15"/>
        <v>-5.8555920904463765E-4</v>
      </c>
      <c r="M165" s="4">
        <f t="shared" si="15"/>
        <v>-1.553728949478749E-3</v>
      </c>
      <c r="N165" s="4">
        <f t="shared" si="15"/>
        <v>0</v>
      </c>
      <c r="O165" s="4">
        <f t="shared" si="15"/>
        <v>0</v>
      </c>
      <c r="P165" s="4">
        <f t="shared" si="15"/>
        <v>0</v>
      </c>
      <c r="Q165" s="4">
        <f t="shared" si="15"/>
        <v>0</v>
      </c>
      <c r="R165" s="4">
        <f t="shared" si="15"/>
        <v>0</v>
      </c>
      <c r="S165" s="4">
        <f t="shared" si="15"/>
        <v>-3.6910846110164682E-4</v>
      </c>
      <c r="T165" s="4">
        <f t="shared" si="15"/>
        <v>0</v>
      </c>
      <c r="U165" s="4">
        <f t="shared" si="15"/>
        <v>0</v>
      </c>
      <c r="V165" s="4">
        <f t="shared" si="15"/>
        <v>0</v>
      </c>
      <c r="W165" s="4">
        <f t="shared" si="15"/>
        <v>0</v>
      </c>
      <c r="X165" s="4">
        <f t="shared" si="15"/>
        <v>0</v>
      </c>
      <c r="Y165" s="4">
        <f t="shared" si="15"/>
        <v>0</v>
      </c>
      <c r="Z165" s="4">
        <f t="shared" si="15"/>
        <v>-7.1493937314115766E-6</v>
      </c>
      <c r="AA165" s="4">
        <f t="shared" si="15"/>
        <v>-3.5616677327440836E-4</v>
      </c>
      <c r="AB165" s="4">
        <f t="shared" si="15"/>
        <v>-2.6182122846520396E-5</v>
      </c>
      <c r="AC165" s="4">
        <f t="shared" si="15"/>
        <v>-1.2581781580271769E-4</v>
      </c>
      <c r="AD165" s="4">
        <f t="shared" si="15"/>
        <v>-7.1916576770945708E-5</v>
      </c>
      <c r="AE165" s="4">
        <f t="shared" si="15"/>
        <v>-5.0205843960236973E-5</v>
      </c>
      <c r="AF165" s="4">
        <f t="shared" si="15"/>
        <v>0</v>
      </c>
      <c r="AG165" s="4">
        <f t="shared" si="15"/>
        <v>-7.4731433909388132E-3</v>
      </c>
      <c r="AH165" s="4">
        <f t="shared" si="15"/>
        <v>-2.5256777235224784E-4</v>
      </c>
      <c r="AI165" s="4">
        <f t="shared" si="15"/>
        <v>0</v>
      </c>
      <c r="AJ165" s="4">
        <f t="shared" si="15"/>
        <v>0</v>
      </c>
      <c r="AK165" s="4">
        <f t="shared" si="15"/>
        <v>0</v>
      </c>
      <c r="AL165" s="4">
        <f t="shared" si="15"/>
        <v>0</v>
      </c>
      <c r="AM165" s="4">
        <f t="shared" si="15"/>
        <v>0</v>
      </c>
      <c r="AN165" s="4">
        <f t="shared" si="15"/>
        <v>0</v>
      </c>
      <c r="AO165" s="4">
        <f t="shared" si="15"/>
        <v>-2.261466663925495E-4</v>
      </c>
      <c r="AP165" s="4">
        <f t="shared" si="15"/>
        <v>-9.1406749880663409E-5</v>
      </c>
      <c r="AQ165" s="4">
        <f t="shared" si="15"/>
        <v>-1.4499658222341902E-4</v>
      </c>
      <c r="AR165" s="4">
        <f t="shared" si="15"/>
        <v>-1.9353590090961874E-4</v>
      </c>
      <c r="AS165" s="4">
        <f t="shared" si="15"/>
        <v>-1.3354700854700856E-4</v>
      </c>
      <c r="AT165" s="12">
        <f t="shared" si="15"/>
        <v>0</v>
      </c>
    </row>
    <row r="166" spans="1:46" x14ac:dyDescent="0.25">
      <c r="A166" s="18" t="s">
        <v>48</v>
      </c>
      <c r="B166" s="22">
        <f t="shared" si="15"/>
        <v>-2.9141844344332388E-4</v>
      </c>
      <c r="C166" s="4">
        <f t="shared" si="15"/>
        <v>-1.3014902062861977E-3</v>
      </c>
      <c r="D166" s="4">
        <f t="shared" si="15"/>
        <v>0.99637681159420288</v>
      </c>
      <c r="E166" s="4">
        <f t="shared" si="15"/>
        <v>-2.1798827959120118E-3</v>
      </c>
      <c r="F166" s="4">
        <f t="shared" si="15"/>
        <v>-3.9326533120314609E-3</v>
      </c>
      <c r="G166" s="4">
        <f t="shared" si="15"/>
        <v>-5.6016870963490183E-4</v>
      </c>
      <c r="H166" s="4">
        <f t="shared" si="15"/>
        <v>-1.9282684149633629E-4</v>
      </c>
      <c r="I166" s="4">
        <f t="shared" si="15"/>
        <v>-2.0084354288009643E-4</v>
      </c>
      <c r="J166" s="4">
        <f t="shared" si="15"/>
        <v>-3.8149737720553174E-4</v>
      </c>
      <c r="K166" s="4">
        <f t="shared" si="15"/>
        <v>-0.61176470588235299</v>
      </c>
      <c r="L166" s="4">
        <f t="shared" si="15"/>
        <v>-7.6573127336606456E-4</v>
      </c>
      <c r="M166" s="4">
        <f t="shared" si="15"/>
        <v>-1.5036086607858861E-4</v>
      </c>
      <c r="N166" s="4">
        <f t="shared" si="15"/>
        <v>-2.1186440677966104E-4</v>
      </c>
      <c r="O166" s="4">
        <f t="shared" si="15"/>
        <v>-1.2440905697934811E-3</v>
      </c>
      <c r="P166" s="4">
        <f t="shared" si="15"/>
        <v>-8.5251491901108269E-4</v>
      </c>
      <c r="Q166" s="4">
        <f t="shared" si="15"/>
        <v>-3.8560411311053987E-4</v>
      </c>
      <c r="R166" s="4">
        <f t="shared" si="15"/>
        <v>-2.4820054604120131E-4</v>
      </c>
      <c r="S166" s="4">
        <f t="shared" si="15"/>
        <v>-5.1107325383304943E-4</v>
      </c>
      <c r="T166" s="4">
        <f t="shared" si="15"/>
        <v>-3.4036759700476518E-4</v>
      </c>
      <c r="U166" s="4">
        <f t="shared" si="15"/>
        <v>-1.7856345698852731E-4</v>
      </c>
      <c r="V166" s="4">
        <f t="shared" si="15"/>
        <v>0</v>
      </c>
      <c r="W166" s="4">
        <f t="shared" si="15"/>
        <v>-2.3009664058904741E-4</v>
      </c>
      <c r="X166" s="4">
        <f t="shared" si="15"/>
        <v>-0.13014848570743301</v>
      </c>
      <c r="Y166" s="4">
        <f t="shared" si="15"/>
        <v>-0.10207224866984038</v>
      </c>
      <c r="Z166" s="4">
        <f t="shared" si="15"/>
        <v>-4.2896362388469454E-4</v>
      </c>
      <c r="AA166" s="4">
        <f t="shared" si="15"/>
        <v>-7.5594580450078505E-4</v>
      </c>
      <c r="AB166" s="4">
        <f t="shared" si="15"/>
        <v>-2.4349374247263971E-3</v>
      </c>
      <c r="AC166" s="4">
        <f t="shared" si="15"/>
        <v>-2.7679919476597892E-3</v>
      </c>
      <c r="AD166" s="4">
        <f t="shared" si="15"/>
        <v>-5.0341603739661994E-3</v>
      </c>
      <c r="AE166" s="4">
        <f t="shared" si="15"/>
        <v>-8.0329350336379157E-4</v>
      </c>
      <c r="AF166" s="4">
        <f t="shared" si="15"/>
        <v>-7.0781426953567391E-4</v>
      </c>
      <c r="AG166" s="4">
        <f t="shared" si="15"/>
        <v>-1.720789596597753E-4</v>
      </c>
      <c r="AH166" s="4">
        <f t="shared" si="15"/>
        <v>-5.8932480215524502E-4</v>
      </c>
      <c r="AI166" s="4">
        <f t="shared" si="15"/>
        <v>-2.4950099800399199E-4</v>
      </c>
      <c r="AJ166" s="4">
        <f t="shared" si="15"/>
        <v>-7.3158241275879721E-5</v>
      </c>
      <c r="AK166" s="4">
        <f t="shared" si="15"/>
        <v>-1.3924279766629072E-5</v>
      </c>
      <c r="AL166" s="4">
        <f t="shared" si="15"/>
        <v>-3.3406270356946003E-5</v>
      </c>
      <c r="AM166" s="4">
        <f t="shared" si="15"/>
        <v>-5.1652892561983477E-5</v>
      </c>
      <c r="AN166" s="4">
        <f t="shared" si="15"/>
        <v>-1.4112334180073382E-4</v>
      </c>
      <c r="AO166" s="4">
        <f t="shared" si="15"/>
        <v>-9.3199838270868881E-4</v>
      </c>
      <c r="AP166" s="4">
        <f t="shared" si="15"/>
        <v>-1.6250088867673495E-4</v>
      </c>
      <c r="AQ166" s="4">
        <f t="shared" si="15"/>
        <v>-2.0713797460488432E-4</v>
      </c>
      <c r="AR166" s="4">
        <f t="shared" si="15"/>
        <v>-3.8707180181923748E-4</v>
      </c>
      <c r="AS166" s="4">
        <f t="shared" si="15"/>
        <v>-2.6709401709401712E-4</v>
      </c>
      <c r="AT166" s="12">
        <f t="shared" si="15"/>
        <v>0</v>
      </c>
    </row>
    <row r="167" spans="1:46" x14ac:dyDescent="0.25">
      <c r="A167" s="18" t="s">
        <v>49</v>
      </c>
      <c r="B167" s="22">
        <f t="shared" si="15"/>
        <v>-5.2550866850435464E-5</v>
      </c>
      <c r="C167" s="4">
        <f t="shared" si="15"/>
        <v>-3.2537255157154944E-4</v>
      </c>
      <c r="D167" s="4">
        <f t="shared" si="15"/>
        <v>0</v>
      </c>
      <c r="E167" s="4">
        <f t="shared" si="15"/>
        <v>0.9968292613877644</v>
      </c>
      <c r="F167" s="4">
        <f t="shared" si="15"/>
        <v>-2.9494899840235957E-3</v>
      </c>
      <c r="G167" s="4">
        <f t="shared" si="15"/>
        <v>-4.8955920842041838E-4</v>
      </c>
      <c r="H167" s="4">
        <f t="shared" si="15"/>
        <v>-2.5710245532844839E-4</v>
      </c>
      <c r="I167" s="4">
        <f t="shared" si="15"/>
        <v>-1.8075918859208678E-3</v>
      </c>
      <c r="J167" s="4">
        <f t="shared" si="15"/>
        <v>-3.8149737720553174E-4</v>
      </c>
      <c r="K167" s="4">
        <f t="shared" si="15"/>
        <v>-1.1764705882352941E-2</v>
      </c>
      <c r="L167" s="4">
        <f t="shared" si="15"/>
        <v>-0.26519826434244703</v>
      </c>
      <c r="M167" s="4">
        <f t="shared" si="15"/>
        <v>-5.6435445068163587E-2</v>
      </c>
      <c r="N167" s="4">
        <f t="shared" si="15"/>
        <v>-8.4745762711864415E-4</v>
      </c>
      <c r="O167" s="4">
        <f t="shared" si="15"/>
        <v>-2.5814879323214732E-2</v>
      </c>
      <c r="P167" s="4">
        <f t="shared" si="15"/>
        <v>-1.4944085050900157E-2</v>
      </c>
      <c r="Q167" s="4">
        <f t="shared" si="15"/>
        <v>-2.8320479862896313E-2</v>
      </c>
      <c r="R167" s="4">
        <f t="shared" si="15"/>
        <v>-4.9640109208240262E-4</v>
      </c>
      <c r="S167" s="4">
        <f t="shared" si="15"/>
        <v>-1.8994889267461672E-2</v>
      </c>
      <c r="T167" s="4">
        <f t="shared" si="15"/>
        <v>-1.7018379850238256E-3</v>
      </c>
      <c r="U167" s="4">
        <f t="shared" si="15"/>
        <v>-2.4552475335922505E-4</v>
      </c>
      <c r="V167" s="4">
        <f t="shared" si="15"/>
        <v>-2.1413276231263385E-4</v>
      </c>
      <c r="W167" s="4">
        <f t="shared" si="15"/>
        <v>-5.3689216137444394E-4</v>
      </c>
      <c r="X167" s="4">
        <f t="shared" si="15"/>
        <v>-2.5074678935089285E-3</v>
      </c>
      <c r="Y167" s="4">
        <f t="shared" si="15"/>
        <v>-1.9602352282273869E-3</v>
      </c>
      <c r="Z167" s="4">
        <f t="shared" si="15"/>
        <v>-1.6765328300160146E-2</v>
      </c>
      <c r="AA167" s="4">
        <f t="shared" si="15"/>
        <v>-6.5418386927952544E-4</v>
      </c>
      <c r="AB167" s="4">
        <f t="shared" si="15"/>
        <v>-4.7127821123736711E-4</v>
      </c>
      <c r="AC167" s="4">
        <f t="shared" si="15"/>
        <v>-5.0327126321087076E-4</v>
      </c>
      <c r="AD167" s="4">
        <f t="shared" si="15"/>
        <v>-9.3491549802229422E-4</v>
      </c>
      <c r="AE167" s="4">
        <f t="shared" si="15"/>
        <v>-6.5267597148308063E-4</v>
      </c>
      <c r="AF167" s="4">
        <f t="shared" si="15"/>
        <v>-1.4156285390713478E-4</v>
      </c>
      <c r="AG167" s="4">
        <f t="shared" si="15"/>
        <v>-2.212443767054254E-4</v>
      </c>
      <c r="AH167" s="4">
        <f t="shared" si="15"/>
        <v>-7.5770331705674358E-4</v>
      </c>
      <c r="AI167" s="4">
        <f t="shared" si="15"/>
        <v>-3.2078699743370403E-4</v>
      </c>
      <c r="AJ167" s="4">
        <f t="shared" si="15"/>
        <v>-1.4631648255175944E-4</v>
      </c>
      <c r="AK167" s="4">
        <f t="shared" si="15"/>
        <v>-2.5063703579932331E-4</v>
      </c>
      <c r="AL167" s="4">
        <f t="shared" si="15"/>
        <v>-6.6812540713892006E-5</v>
      </c>
      <c r="AM167" s="4">
        <f t="shared" si="15"/>
        <v>-2.3243801652892562E-4</v>
      </c>
      <c r="AN167" s="4">
        <f t="shared" si="15"/>
        <v>-1.8816445573431178E-4</v>
      </c>
      <c r="AO167" s="4">
        <f t="shared" si="15"/>
        <v>-3.378494137318997E-3</v>
      </c>
      <c r="AP167" s="4">
        <f t="shared" si="15"/>
        <v>-1.5234458313443901E-4</v>
      </c>
      <c r="AQ167" s="4">
        <f t="shared" si="15"/>
        <v>-2.2785177206537276E-4</v>
      </c>
      <c r="AR167" s="4">
        <f t="shared" si="15"/>
        <v>-3.8707180181923748E-4</v>
      </c>
      <c r="AS167" s="4">
        <f t="shared" si="15"/>
        <v>-2.6709401709401712E-4</v>
      </c>
      <c r="AT167" s="12">
        <f t="shared" si="15"/>
        <v>0</v>
      </c>
    </row>
    <row r="168" spans="1:46" x14ac:dyDescent="0.25">
      <c r="A168" s="18" t="s">
        <v>50</v>
      </c>
      <c r="B168" s="22">
        <f t="shared" si="15"/>
        <v>-4.8251250471763465E-4</v>
      </c>
      <c r="C168" s="4">
        <f t="shared" si="15"/>
        <v>-2.0173098197436064E-3</v>
      </c>
      <c r="D168" s="4">
        <f t="shared" si="15"/>
        <v>-0.14130434782608695</v>
      </c>
      <c r="E168" s="4">
        <f t="shared" si="15"/>
        <v>-8.0287631288395667E-2</v>
      </c>
      <c r="F168" s="4">
        <f t="shared" si="15"/>
        <v>0.82044979722256361</v>
      </c>
      <c r="G168" s="4">
        <f t="shared" si="15"/>
        <v>-3.5304750607241715E-4</v>
      </c>
      <c r="H168" s="4">
        <f t="shared" si="15"/>
        <v>-1.6068903458028024E-5</v>
      </c>
      <c r="I168" s="4">
        <f t="shared" si="15"/>
        <v>0</v>
      </c>
      <c r="J168" s="4">
        <f t="shared" si="15"/>
        <v>-2.4797329518359561E-3</v>
      </c>
      <c r="K168" s="4">
        <f t="shared" si="15"/>
        <v>-3.5294117647058823E-2</v>
      </c>
      <c r="L168" s="4">
        <f t="shared" si="15"/>
        <v>-2.2071077879374803E-3</v>
      </c>
      <c r="M168" s="4">
        <f t="shared" si="15"/>
        <v>-5.012028869286287E-5</v>
      </c>
      <c r="N168" s="4">
        <f t="shared" si="15"/>
        <v>-6.3559322033898301E-4</v>
      </c>
      <c r="O168" s="4">
        <f t="shared" si="15"/>
        <v>-1.716844986315004E-2</v>
      </c>
      <c r="P168" s="4">
        <f t="shared" si="15"/>
        <v>-8.3245574444611621E-3</v>
      </c>
      <c r="Q168" s="4">
        <f t="shared" si="15"/>
        <v>-1.2853470437017994E-4</v>
      </c>
      <c r="R168" s="4">
        <f t="shared" si="15"/>
        <v>0</v>
      </c>
      <c r="S168" s="4">
        <f t="shared" si="15"/>
        <v>-8.5178875638841563E-5</v>
      </c>
      <c r="T168" s="4">
        <f t="shared" si="15"/>
        <v>-3.4036759700476518E-4</v>
      </c>
      <c r="U168" s="4">
        <f t="shared" si="15"/>
        <v>0</v>
      </c>
      <c r="V168" s="4">
        <f t="shared" si="15"/>
        <v>0</v>
      </c>
      <c r="W168" s="4">
        <f t="shared" si="15"/>
        <v>-7.6698880196349146E-5</v>
      </c>
      <c r="X168" s="4">
        <f t="shared" si="15"/>
        <v>-4.3390096592024066E-3</v>
      </c>
      <c r="Y168" s="4">
        <f t="shared" si="15"/>
        <v>-3.2203864463735644E-3</v>
      </c>
      <c r="Z168" s="4">
        <f t="shared" si="15"/>
        <v>-1.6722431937771676E-2</v>
      </c>
      <c r="AA168" s="4">
        <f t="shared" si="15"/>
        <v>-2.9074838634645577E-5</v>
      </c>
      <c r="AB168" s="4">
        <f t="shared" si="15"/>
        <v>-1.2829240194794996E-3</v>
      </c>
      <c r="AC168" s="4">
        <f t="shared" si="15"/>
        <v>0</v>
      </c>
      <c r="AD168" s="4">
        <f t="shared" si="15"/>
        <v>0</v>
      </c>
      <c r="AE168" s="4">
        <f t="shared" si="15"/>
        <v>-2.5102921980118485E-4</v>
      </c>
      <c r="AF168" s="4">
        <f t="shared" si="15"/>
        <v>0</v>
      </c>
      <c r="AG168" s="4">
        <f t="shared" si="15"/>
        <v>-2.4582708522825045E-5</v>
      </c>
      <c r="AH168" s="4">
        <f t="shared" si="15"/>
        <v>0</v>
      </c>
      <c r="AI168" s="4">
        <f t="shared" si="15"/>
        <v>0</v>
      </c>
      <c r="AJ168" s="4">
        <f t="shared" si="15"/>
        <v>0</v>
      </c>
      <c r="AK168" s="4">
        <f t="shared" si="15"/>
        <v>0</v>
      </c>
      <c r="AL168" s="4">
        <f t="shared" si="15"/>
        <v>-1.3362508142778401E-4</v>
      </c>
      <c r="AM168" s="4">
        <f t="shared" si="15"/>
        <v>-5.4235537190082644E-4</v>
      </c>
      <c r="AN168" s="4">
        <f t="shared" si="15"/>
        <v>-1.4112334180073382E-4</v>
      </c>
      <c r="AO168" s="4">
        <f t="shared" si="15"/>
        <v>-1.8502909068481325E-4</v>
      </c>
      <c r="AP168" s="4">
        <f t="shared" si="15"/>
        <v>-2.0312611084591869E-5</v>
      </c>
      <c r="AQ168" s="4">
        <f t="shared" si="15"/>
        <v>0</v>
      </c>
      <c r="AR168" s="4">
        <f t="shared" si="15"/>
        <v>0</v>
      </c>
      <c r="AS168" s="4">
        <f t="shared" si="15"/>
        <v>0</v>
      </c>
      <c r="AT168" s="12">
        <f t="shared" si="15"/>
        <v>0</v>
      </c>
    </row>
    <row r="169" spans="1:46" x14ac:dyDescent="0.25">
      <c r="A169" s="18" t="s">
        <v>51</v>
      </c>
      <c r="B169" s="22">
        <f t="shared" si="15"/>
        <v>-8.2667290907266835E-2</v>
      </c>
      <c r="C169" s="4">
        <f t="shared" si="15"/>
        <v>-5.6614823973449597E-3</v>
      </c>
      <c r="D169" s="4">
        <f t="shared" si="15"/>
        <v>0</v>
      </c>
      <c r="E169" s="4">
        <f t="shared" si="15"/>
        <v>-5.945134897941851E-4</v>
      </c>
      <c r="F169" s="4">
        <f t="shared" si="15"/>
        <v>-1.3518495760108148E-3</v>
      </c>
      <c r="G169" s="4">
        <f t="shared" si="15"/>
        <v>0.8755484004594325</v>
      </c>
      <c r="H169" s="4">
        <f t="shared" si="15"/>
        <v>-5.4473582722714999E-3</v>
      </c>
      <c r="I169" s="4">
        <f t="shared" si="15"/>
        <v>-2.4101225145611569E-3</v>
      </c>
      <c r="J169" s="4">
        <f t="shared" si="15"/>
        <v>-3.3381020505484026E-3</v>
      </c>
      <c r="K169" s="4">
        <f t="shared" si="15"/>
        <v>0</v>
      </c>
      <c r="L169" s="4">
        <f t="shared" si="15"/>
        <v>-3.2130684803987806E-3</v>
      </c>
      <c r="M169" s="4">
        <f t="shared" si="15"/>
        <v>-4.0597433841218925E-3</v>
      </c>
      <c r="N169" s="4">
        <f t="shared" si="15"/>
        <v>-6.6737288135593218E-3</v>
      </c>
      <c r="O169" s="4">
        <f t="shared" si="15"/>
        <v>-1.7728290619557106E-3</v>
      </c>
      <c r="P169" s="4">
        <f t="shared" si="15"/>
        <v>-1.3038463467228325E-3</v>
      </c>
      <c r="Q169" s="4">
        <f t="shared" si="15"/>
        <v>-2.0137103684661527E-3</v>
      </c>
      <c r="R169" s="4">
        <f t="shared" si="15"/>
        <v>-2.233804914370812E-3</v>
      </c>
      <c r="S169" s="4">
        <f t="shared" si="15"/>
        <v>-1.8739352640545143E-3</v>
      </c>
      <c r="T169" s="4">
        <f t="shared" si="15"/>
        <v>-3.0633083730428863E-3</v>
      </c>
      <c r="U169" s="4">
        <f t="shared" si="15"/>
        <v>-1.1606624704254276E-3</v>
      </c>
      <c r="V169" s="4">
        <f t="shared" si="15"/>
        <v>-1.7130620985010708E-3</v>
      </c>
      <c r="W169" s="4">
        <f t="shared" si="15"/>
        <v>-2.3009664058904742E-3</v>
      </c>
      <c r="X169" s="4">
        <f t="shared" si="15"/>
        <v>-6.7592612781545037E-4</v>
      </c>
      <c r="Y169" s="4">
        <f t="shared" si="15"/>
        <v>-5.6006720806496785E-4</v>
      </c>
      <c r="Z169" s="4">
        <f t="shared" si="15"/>
        <v>-1.415579958819492E-3</v>
      </c>
      <c r="AA169" s="4">
        <f t="shared" si="15"/>
        <v>-8.7297203000523335E-3</v>
      </c>
      <c r="AB169" s="4">
        <f t="shared" si="15"/>
        <v>-2.5658480389589991E-3</v>
      </c>
      <c r="AC169" s="4">
        <f t="shared" si="15"/>
        <v>-3.6487166582788123E-3</v>
      </c>
      <c r="AD169" s="4">
        <f t="shared" si="15"/>
        <v>-6.4005753326141675E-3</v>
      </c>
      <c r="AE169" s="4">
        <f t="shared" si="15"/>
        <v>-3.4642032332563512E-3</v>
      </c>
      <c r="AF169" s="4">
        <f t="shared" si="15"/>
        <v>-1.2740656851642129E-3</v>
      </c>
      <c r="AG169" s="4">
        <f t="shared" si="15"/>
        <v>-0.16553995919270384</v>
      </c>
      <c r="AH169" s="4">
        <f t="shared" si="15"/>
        <v>-1.5995958915642365E-2</v>
      </c>
      <c r="AI169" s="4">
        <f t="shared" si="15"/>
        <v>-1.8534359851725122E-3</v>
      </c>
      <c r="AJ169" s="4">
        <f t="shared" si="15"/>
        <v>-8.778988953105566E-4</v>
      </c>
      <c r="AK169" s="4">
        <f t="shared" si="15"/>
        <v>-1.2531851789966163E-3</v>
      </c>
      <c r="AL169" s="4">
        <f t="shared" si="15"/>
        <v>-3.1735956839098697E-4</v>
      </c>
      <c r="AM169" s="4">
        <f t="shared" si="15"/>
        <v>-1.1621900826446281E-3</v>
      </c>
      <c r="AN169" s="4">
        <f t="shared" si="15"/>
        <v>-1.0349045065387147E-3</v>
      </c>
      <c r="AO169" s="4">
        <f t="shared" si="15"/>
        <v>-6.6541943353686534E-3</v>
      </c>
      <c r="AP169" s="4">
        <f t="shared" si="15"/>
        <v>-3.3414245234153622E-3</v>
      </c>
      <c r="AQ169" s="4">
        <f t="shared" si="15"/>
        <v>-4.4120388590840366E-3</v>
      </c>
      <c r="AR169" s="4">
        <f t="shared" si="15"/>
        <v>-8.7091155409328418E-3</v>
      </c>
      <c r="AS169" s="4">
        <f t="shared" si="15"/>
        <v>-8.814102564102564E-3</v>
      </c>
      <c r="AT169" s="12">
        <f t="shared" si="15"/>
        <v>0</v>
      </c>
    </row>
    <row r="170" spans="1:46" x14ac:dyDescent="0.25">
      <c r="A170" s="18" t="s">
        <v>52</v>
      </c>
      <c r="B170" s="22">
        <f t="shared" si="15"/>
        <v>-1.2182246406237311E-3</v>
      </c>
      <c r="C170" s="4">
        <f t="shared" si="15"/>
        <v>-9.1104314440033831E-4</v>
      </c>
      <c r="D170" s="4">
        <f t="shared" si="15"/>
        <v>0</v>
      </c>
      <c r="E170" s="4">
        <f t="shared" si="15"/>
        <v>-3.3972199416810572E-4</v>
      </c>
      <c r="F170" s="4">
        <f t="shared" si="15"/>
        <v>-3.6868624800294946E-4</v>
      </c>
      <c r="G170" s="4">
        <f t="shared" si="15"/>
        <v>-5.648760097158674E-4</v>
      </c>
      <c r="H170" s="4">
        <f t="shared" si="15"/>
        <v>0.70430003856536827</v>
      </c>
      <c r="I170" s="4">
        <f t="shared" si="15"/>
        <v>-4.619401486242217E-3</v>
      </c>
      <c r="J170" s="4">
        <f t="shared" si="15"/>
        <v>-5.7224606580829757E-3</v>
      </c>
      <c r="K170" s="4">
        <f t="shared" si="15"/>
        <v>0</v>
      </c>
      <c r="L170" s="4">
        <f t="shared" si="15"/>
        <v>-1.1410897407023706E-3</v>
      </c>
      <c r="M170" s="4">
        <f t="shared" si="15"/>
        <v>-1.2028869286287089E-3</v>
      </c>
      <c r="N170" s="4">
        <f t="shared" si="15"/>
        <v>-1.1122881355932203E-2</v>
      </c>
      <c r="O170" s="4">
        <f t="shared" si="15"/>
        <v>-5.909430206519035E-4</v>
      </c>
      <c r="P170" s="4">
        <f t="shared" si="15"/>
        <v>-2.0059174564966654E-4</v>
      </c>
      <c r="Q170" s="4">
        <f t="shared" si="15"/>
        <v>-8.5689802913453304E-4</v>
      </c>
      <c r="R170" s="4">
        <f t="shared" si="15"/>
        <v>-1.737403822288409E-3</v>
      </c>
      <c r="S170" s="4">
        <f t="shared" si="15"/>
        <v>-1.0221465076660989E-3</v>
      </c>
      <c r="T170" s="4">
        <f t="shared" si="15"/>
        <v>-4.0844111640571815E-3</v>
      </c>
      <c r="U170" s="4">
        <f t="shared" si="15"/>
        <v>-9.3745814918976835E-4</v>
      </c>
      <c r="V170" s="4">
        <f t="shared" si="15"/>
        <v>-2.1413276231263385E-4</v>
      </c>
      <c r="W170" s="4">
        <f t="shared" si="15"/>
        <v>-2.4697039423224425E-2</v>
      </c>
      <c r="X170" s="4">
        <f t="shared" si="15"/>
        <v>-1.0902034319604038E-4</v>
      </c>
      <c r="Y170" s="4">
        <f t="shared" si="15"/>
        <v>-1.4001680201624196E-4</v>
      </c>
      <c r="Z170" s="4">
        <f t="shared" si="15"/>
        <v>-4.575611988103409E-4</v>
      </c>
      <c r="AA170" s="4">
        <f t="shared" si="15"/>
        <v>-9.2312612664999705E-4</v>
      </c>
      <c r="AB170" s="4">
        <f t="shared" si="15"/>
        <v>-4.7127821123736711E-4</v>
      </c>
      <c r="AC170" s="4">
        <f t="shared" si="15"/>
        <v>-5.0327126321087076E-4</v>
      </c>
      <c r="AD170" s="4">
        <f t="shared" si="15"/>
        <v>-9.3491549802229422E-4</v>
      </c>
      <c r="AE170" s="4">
        <f t="shared" si="15"/>
        <v>-4.5185259564213277E-4</v>
      </c>
      <c r="AF170" s="4">
        <f t="shared" ref="AF170:AT170" si="16">AF120-AF64</f>
        <v>-1.4156285390713478E-4</v>
      </c>
      <c r="AG170" s="4">
        <f t="shared" si="16"/>
        <v>-1.081639175004302E-3</v>
      </c>
      <c r="AH170" s="4">
        <f t="shared" si="16"/>
        <v>-3.5359488129314701E-3</v>
      </c>
      <c r="AI170" s="4">
        <f t="shared" si="16"/>
        <v>-1.4257199885942402E-4</v>
      </c>
      <c r="AJ170" s="4">
        <f t="shared" si="16"/>
        <v>-3.6579120637939862E-4</v>
      </c>
      <c r="AK170" s="4">
        <f t="shared" si="16"/>
        <v>-6.9621398833145359E-5</v>
      </c>
      <c r="AL170" s="4">
        <f t="shared" si="16"/>
        <v>-1.5032821660625702E-4</v>
      </c>
      <c r="AM170" s="4">
        <f t="shared" si="16"/>
        <v>-5.6818181818181826E-4</v>
      </c>
      <c r="AN170" s="4">
        <f t="shared" si="16"/>
        <v>-8.4674005080440302E-4</v>
      </c>
      <c r="AO170" s="4">
        <f t="shared" si="16"/>
        <v>-3.4127587837421104E-3</v>
      </c>
      <c r="AP170" s="4">
        <f t="shared" si="16"/>
        <v>-5.6875311036857232E-4</v>
      </c>
      <c r="AQ170" s="4">
        <f t="shared" si="16"/>
        <v>-7.6641050603807204E-4</v>
      </c>
      <c r="AR170" s="4">
        <f t="shared" si="16"/>
        <v>-9.6767950454809356E-4</v>
      </c>
      <c r="AS170" s="4">
        <f t="shared" si="16"/>
        <v>-1.6025641025641025E-3</v>
      </c>
      <c r="AT170" s="12">
        <f t="shared" si="16"/>
        <v>0</v>
      </c>
    </row>
    <row r="171" spans="1:46" x14ac:dyDescent="0.25">
      <c r="A171" s="18" t="s">
        <v>53</v>
      </c>
      <c r="B171" s="22">
        <f t="shared" ref="B171:AT176" si="17">B121-B65</f>
        <v>-3.9174282561233701E-4</v>
      </c>
      <c r="C171" s="4">
        <f t="shared" si="17"/>
        <v>-6.5074510314309887E-5</v>
      </c>
      <c r="D171" s="4">
        <f t="shared" si="17"/>
        <v>0</v>
      </c>
      <c r="E171" s="4">
        <f t="shared" si="17"/>
        <v>-1.6986099708405286E-4</v>
      </c>
      <c r="F171" s="4">
        <f t="shared" si="17"/>
        <v>-6.1447708000491577E-4</v>
      </c>
      <c r="G171" s="4">
        <f t="shared" si="17"/>
        <v>-4.7073000809655618E-4</v>
      </c>
      <c r="H171" s="4">
        <f t="shared" si="17"/>
        <v>-2.3299910014140638E-3</v>
      </c>
      <c r="I171" s="4">
        <f t="shared" si="17"/>
        <v>0.73709580236995376</v>
      </c>
      <c r="J171" s="4">
        <f t="shared" si="17"/>
        <v>-8.9651883643299957E-3</v>
      </c>
      <c r="K171" s="4">
        <f t="shared" si="17"/>
        <v>0</v>
      </c>
      <c r="L171" s="4">
        <f t="shared" si="17"/>
        <v>-9.0086032160713482E-5</v>
      </c>
      <c r="M171" s="4">
        <f t="shared" si="17"/>
        <v>-1.0024057738572574E-4</v>
      </c>
      <c r="N171" s="4">
        <f t="shared" si="17"/>
        <v>-2.6483050847457626E-3</v>
      </c>
      <c r="O171" s="4">
        <f t="shared" si="17"/>
        <v>-2.2393630256282659E-3</v>
      </c>
      <c r="P171" s="4">
        <f t="shared" si="17"/>
        <v>-1.5044380923724988E-4</v>
      </c>
      <c r="Q171" s="4">
        <f t="shared" si="17"/>
        <v>-9.9400171379605828E-3</v>
      </c>
      <c r="R171" s="4">
        <f t="shared" si="17"/>
        <v>-1.2410027302060066E-4</v>
      </c>
      <c r="S171" s="4">
        <f t="shared" si="17"/>
        <v>-1.902328222600795E-3</v>
      </c>
      <c r="T171" s="4">
        <f t="shared" si="17"/>
        <v>-1.7018379850238256E-3</v>
      </c>
      <c r="U171" s="4">
        <f t="shared" si="17"/>
        <v>-1.5177893844024821E-3</v>
      </c>
      <c r="V171" s="4">
        <f t="shared" si="17"/>
        <v>-3.1049250535331904E-2</v>
      </c>
      <c r="W171" s="4">
        <f t="shared" si="17"/>
        <v>-6.1435803037275652E-2</v>
      </c>
      <c r="X171" s="4">
        <f t="shared" si="17"/>
        <v>-4.3608137278416153E-5</v>
      </c>
      <c r="Y171" s="4">
        <f t="shared" si="17"/>
        <v>0</v>
      </c>
      <c r="Z171" s="4">
        <f t="shared" si="17"/>
        <v>-3.1857698467169987E-2</v>
      </c>
      <c r="AA171" s="4">
        <f t="shared" si="17"/>
        <v>-2.158806768622434E-3</v>
      </c>
      <c r="AB171" s="4">
        <f t="shared" si="17"/>
        <v>-1.8327485992564274E-4</v>
      </c>
      <c r="AC171" s="4">
        <f t="shared" si="17"/>
        <v>-1.2581781580271769E-4</v>
      </c>
      <c r="AD171" s="4">
        <f t="shared" si="17"/>
        <v>-2.8766630708378283E-4</v>
      </c>
      <c r="AE171" s="4">
        <f t="shared" si="17"/>
        <v>-2.5102921980118485E-4</v>
      </c>
      <c r="AF171" s="4">
        <f t="shared" si="17"/>
        <v>-1.4156285390713478E-4</v>
      </c>
      <c r="AG171" s="4">
        <f t="shared" si="17"/>
        <v>-7.3748125568475132E-5</v>
      </c>
      <c r="AH171" s="4">
        <f t="shared" si="17"/>
        <v>-4.5462199023404617E-3</v>
      </c>
      <c r="AI171" s="4">
        <f t="shared" si="17"/>
        <v>-1.06928999144568E-4</v>
      </c>
      <c r="AJ171" s="4">
        <f t="shared" si="17"/>
        <v>-5.1210768893115803E-4</v>
      </c>
      <c r="AK171" s="4">
        <f t="shared" si="17"/>
        <v>-6.9621398833145359E-5</v>
      </c>
      <c r="AL171" s="4">
        <f t="shared" si="17"/>
        <v>-5.0109405535418998E-4</v>
      </c>
      <c r="AM171" s="4">
        <f t="shared" si="17"/>
        <v>-6.9731404958677694E-4</v>
      </c>
      <c r="AN171" s="4">
        <f t="shared" si="17"/>
        <v>-1.3641923040737603E-3</v>
      </c>
      <c r="AO171" s="4">
        <f t="shared" si="17"/>
        <v>-6.852929284622712E-5</v>
      </c>
      <c r="AP171" s="4">
        <f t="shared" si="17"/>
        <v>-5.0781527711479672E-5</v>
      </c>
      <c r="AQ171" s="4">
        <f t="shared" si="17"/>
        <v>-8.2855189841953727E-5</v>
      </c>
      <c r="AR171" s="4">
        <f t="shared" si="17"/>
        <v>-2.9030385136442809E-3</v>
      </c>
      <c r="AS171" s="4">
        <f t="shared" si="17"/>
        <v>-3.0715811965811965E-3</v>
      </c>
      <c r="AT171" s="12">
        <f t="shared" si="17"/>
        <v>0</v>
      </c>
    </row>
    <row r="172" spans="1:46" x14ac:dyDescent="0.25">
      <c r="A172" s="18" t="s">
        <v>54</v>
      </c>
      <c r="B172" s="22">
        <f t="shared" si="17"/>
        <v>-2.8664109191146614E-4</v>
      </c>
      <c r="C172" s="4">
        <f t="shared" si="17"/>
        <v>-5.205960825144791E-4</v>
      </c>
      <c r="D172" s="4">
        <f t="shared" si="17"/>
        <v>0</v>
      </c>
      <c r="E172" s="4">
        <f t="shared" si="17"/>
        <v>-1.7552303032018798E-3</v>
      </c>
      <c r="F172" s="4">
        <f t="shared" si="17"/>
        <v>-3.6868624800294946E-4</v>
      </c>
      <c r="G172" s="4">
        <f t="shared" si="17"/>
        <v>-9.9888907718089209E-3</v>
      </c>
      <c r="H172" s="4">
        <f t="shared" si="17"/>
        <v>-1.2694433731842139E-2</v>
      </c>
      <c r="I172" s="4">
        <f t="shared" si="17"/>
        <v>-1.8075918859208678E-3</v>
      </c>
      <c r="J172" s="4">
        <f t="shared" si="17"/>
        <v>0.79494515975202673</v>
      </c>
      <c r="K172" s="4">
        <f t="shared" si="17"/>
        <v>0</v>
      </c>
      <c r="L172" s="4">
        <f t="shared" si="17"/>
        <v>-5.4351906070297133E-3</v>
      </c>
      <c r="M172" s="4">
        <f t="shared" si="17"/>
        <v>-1.0926222935044106E-2</v>
      </c>
      <c r="N172" s="4">
        <f t="shared" si="17"/>
        <v>-7.0974576271186441E-3</v>
      </c>
      <c r="O172" s="4">
        <f t="shared" si="17"/>
        <v>-9.4239860661856183E-3</v>
      </c>
      <c r="P172" s="4">
        <f t="shared" si="17"/>
        <v>-1.4542901559600823E-3</v>
      </c>
      <c r="Q172" s="4">
        <f t="shared" si="17"/>
        <v>-2.0137103684661527E-3</v>
      </c>
      <c r="R172" s="4">
        <f t="shared" si="17"/>
        <v>-2.1097046413502112E-3</v>
      </c>
      <c r="S172" s="4">
        <f t="shared" si="17"/>
        <v>-3.8614423622941509E-3</v>
      </c>
      <c r="T172" s="4">
        <f t="shared" si="17"/>
        <v>-6.8073519400953025E-3</v>
      </c>
      <c r="U172" s="4">
        <f t="shared" si="17"/>
        <v>-1.7186732735145753E-3</v>
      </c>
      <c r="V172" s="4">
        <f t="shared" si="17"/>
        <v>-4.282655246252677E-4</v>
      </c>
      <c r="W172" s="4">
        <f t="shared" si="17"/>
        <v>-3.758245129621108E-3</v>
      </c>
      <c r="X172" s="4">
        <f t="shared" si="17"/>
        <v>-1.0247912260427795E-3</v>
      </c>
      <c r="Y172" s="4">
        <f t="shared" si="17"/>
        <v>-8.4010081209745166E-4</v>
      </c>
      <c r="Z172" s="4">
        <f t="shared" si="17"/>
        <v>-7.0064058567833448E-4</v>
      </c>
      <c r="AA172" s="4">
        <f t="shared" si="17"/>
        <v>-5.7132057917078554E-3</v>
      </c>
      <c r="AB172" s="4">
        <f t="shared" si="17"/>
        <v>-1.1781955280934179E-3</v>
      </c>
      <c r="AC172" s="4">
        <f t="shared" si="17"/>
        <v>-8.8072471061902363E-4</v>
      </c>
      <c r="AD172" s="4">
        <f t="shared" si="17"/>
        <v>-1.7259978425026969E-3</v>
      </c>
      <c r="AE172" s="4">
        <f t="shared" si="17"/>
        <v>-2.0584396023697158E-3</v>
      </c>
      <c r="AF172" s="4">
        <f t="shared" si="17"/>
        <v>-4.8131370328425823E-3</v>
      </c>
      <c r="AG172" s="4">
        <f t="shared" si="17"/>
        <v>-1.671624179552103E-3</v>
      </c>
      <c r="AH172" s="4">
        <f t="shared" si="17"/>
        <v>-6.6762081158444189E-2</v>
      </c>
      <c r="AI172" s="4">
        <f t="shared" si="17"/>
        <v>-2.8514399771884802E-3</v>
      </c>
      <c r="AJ172" s="4">
        <f t="shared" si="17"/>
        <v>-2.3410637208281511E-3</v>
      </c>
      <c r="AK172" s="4">
        <f t="shared" si="17"/>
        <v>-4.1494353704554631E-3</v>
      </c>
      <c r="AL172" s="4">
        <f t="shared" si="17"/>
        <v>-6.1801600160350106E-4</v>
      </c>
      <c r="AM172" s="4">
        <f t="shared" si="17"/>
        <v>-3.7190082644628099E-3</v>
      </c>
      <c r="AN172" s="4">
        <f t="shared" si="17"/>
        <v>-2.9165490638818326E-3</v>
      </c>
      <c r="AO172" s="4">
        <f t="shared" si="17"/>
        <v>-3.9267284800888142E-3</v>
      </c>
      <c r="AP172" s="4">
        <f t="shared" si="17"/>
        <v>-7.1195701851494491E-3</v>
      </c>
      <c r="AQ172" s="4">
        <f t="shared" si="17"/>
        <v>-6.3384220229094606E-3</v>
      </c>
      <c r="AR172" s="4">
        <f t="shared" si="17"/>
        <v>-1.9160054190052254E-2</v>
      </c>
      <c r="AS172" s="4">
        <f t="shared" si="17"/>
        <v>-1.776175213675214E-2</v>
      </c>
      <c r="AT172" s="12">
        <f t="shared" si="17"/>
        <v>0</v>
      </c>
    </row>
    <row r="173" spans="1:46" x14ac:dyDescent="0.25">
      <c r="A173" s="18" t="s">
        <v>55</v>
      </c>
      <c r="B173" s="22">
        <f t="shared" si="17"/>
        <v>-1.3811323278600811E-2</v>
      </c>
      <c r="C173" s="4">
        <f t="shared" si="17"/>
        <v>-6.5725255417452985E-2</v>
      </c>
      <c r="D173" s="4">
        <f t="shared" si="17"/>
        <v>-7.246376811594203E-3</v>
      </c>
      <c r="E173" s="4">
        <f t="shared" si="17"/>
        <v>-2.9017920335192366E-2</v>
      </c>
      <c r="F173" s="4">
        <f t="shared" si="17"/>
        <v>-9.217156200073736E-3</v>
      </c>
      <c r="G173" s="4">
        <f t="shared" si="17"/>
        <v>-8.4496036453331827E-3</v>
      </c>
      <c r="H173" s="4">
        <f t="shared" si="17"/>
        <v>-3.7279856022625017E-3</v>
      </c>
      <c r="I173" s="4">
        <f t="shared" si="17"/>
        <v>-1.8075918859208678E-3</v>
      </c>
      <c r="J173" s="4">
        <f t="shared" si="17"/>
        <v>-8.9651883643299957E-3</v>
      </c>
      <c r="K173" s="4">
        <f t="shared" si="17"/>
        <v>0.91764705882352937</v>
      </c>
      <c r="L173" s="4">
        <f t="shared" si="17"/>
        <v>-9.3989760221011073E-3</v>
      </c>
      <c r="M173" s="4">
        <f t="shared" si="17"/>
        <v>-3.859262229350441E-3</v>
      </c>
      <c r="N173" s="4">
        <f t="shared" si="17"/>
        <v>-1.5254237288135594E-2</v>
      </c>
      <c r="O173" s="4">
        <f t="shared" si="17"/>
        <v>-5.4677780542423497E-2</v>
      </c>
      <c r="P173" s="4">
        <f t="shared" si="17"/>
        <v>-1.2536984103104158E-2</v>
      </c>
      <c r="Q173" s="4">
        <f t="shared" si="17"/>
        <v>-9.2544987146529565E-3</v>
      </c>
      <c r="R173" s="4">
        <f t="shared" si="17"/>
        <v>-2.6061057334326137E-3</v>
      </c>
      <c r="S173" s="4">
        <f t="shared" si="17"/>
        <v>-2.4701873935264055E-3</v>
      </c>
      <c r="T173" s="4">
        <f t="shared" si="17"/>
        <v>-8.168822328114363E-3</v>
      </c>
      <c r="U173" s="4">
        <f t="shared" si="17"/>
        <v>-8.102316860854426E-3</v>
      </c>
      <c r="V173" s="4">
        <f t="shared" si="17"/>
        <v>-4.282655246252677E-4</v>
      </c>
      <c r="W173" s="4">
        <f t="shared" si="17"/>
        <v>-8.283479061205707E-3</v>
      </c>
      <c r="X173" s="4">
        <f t="shared" si="17"/>
        <v>-2.5292719621481368E-2</v>
      </c>
      <c r="Y173" s="4">
        <f t="shared" si="17"/>
        <v>-2.0022402688322598E-2</v>
      </c>
      <c r="Z173" s="4">
        <f t="shared" si="17"/>
        <v>-1.7330130404941659E-2</v>
      </c>
      <c r="AA173" s="4">
        <f t="shared" si="17"/>
        <v>-1.67761818921905E-2</v>
      </c>
      <c r="AB173" s="4">
        <f t="shared" si="17"/>
        <v>-0.12114468241084987</v>
      </c>
      <c r="AC173" s="4">
        <f t="shared" si="17"/>
        <v>-0.1110971313537997</v>
      </c>
      <c r="AD173" s="4">
        <f t="shared" si="17"/>
        <v>-0.25429701546206401</v>
      </c>
      <c r="AE173" s="4">
        <f t="shared" si="17"/>
        <v>-3.4391003112762324E-2</v>
      </c>
      <c r="AF173" s="4">
        <f t="shared" si="17"/>
        <v>-3.7938844847112123E-2</v>
      </c>
      <c r="AG173" s="4">
        <f t="shared" si="17"/>
        <v>-5.6294402517269347E-3</v>
      </c>
      <c r="AH173" s="4">
        <f t="shared" si="17"/>
        <v>-1.6332715945445362E-2</v>
      </c>
      <c r="AI173" s="4">
        <f t="shared" si="17"/>
        <v>-1.2475049900199601E-2</v>
      </c>
      <c r="AJ173" s="4">
        <f t="shared" si="17"/>
        <v>-1.316848342965835E-3</v>
      </c>
      <c r="AK173" s="4">
        <f t="shared" si="17"/>
        <v>-2.7848559533258144E-5</v>
      </c>
      <c r="AL173" s="4">
        <f t="shared" si="17"/>
        <v>-1.085703786600745E-3</v>
      </c>
      <c r="AM173" s="4">
        <f t="shared" si="17"/>
        <v>-1.9369834710743802E-3</v>
      </c>
      <c r="AN173" s="4">
        <f t="shared" si="17"/>
        <v>-5.5978925580957755E-3</v>
      </c>
      <c r="AO173" s="4">
        <f t="shared" si="17"/>
        <v>-2.0140759167506149E-2</v>
      </c>
      <c r="AP173" s="4">
        <f t="shared" si="17"/>
        <v>-6.4086287971887347E-3</v>
      </c>
      <c r="AQ173" s="4">
        <f t="shared" si="17"/>
        <v>-8.9069329080100259E-3</v>
      </c>
      <c r="AR173" s="4">
        <f t="shared" si="17"/>
        <v>-9.6767950454809352E-3</v>
      </c>
      <c r="AS173" s="4">
        <f t="shared" si="17"/>
        <v>-9.8824786324786338E-3</v>
      </c>
      <c r="AT173" s="12">
        <f t="shared" si="17"/>
        <v>0</v>
      </c>
    </row>
    <row r="174" spans="1:46" x14ac:dyDescent="0.25">
      <c r="A174" s="18" t="s">
        <v>56</v>
      </c>
      <c r="B174" s="22">
        <f t="shared" si="17"/>
        <v>-3.2634088314120423E-2</v>
      </c>
      <c r="C174" s="4">
        <f t="shared" si="17"/>
        <v>-1.4967137372291271E-3</v>
      </c>
      <c r="D174" s="4">
        <f t="shared" si="17"/>
        <v>0</v>
      </c>
      <c r="E174" s="4">
        <f t="shared" si="17"/>
        <v>-3.7086317696684878E-3</v>
      </c>
      <c r="F174" s="4">
        <f t="shared" si="17"/>
        <v>-6.8821432960550566E-3</v>
      </c>
      <c r="G174" s="4">
        <f t="shared" si="17"/>
        <v>-9.0144796550490503E-3</v>
      </c>
      <c r="H174" s="4">
        <f t="shared" si="17"/>
        <v>-3.31983545442859E-2</v>
      </c>
      <c r="I174" s="4">
        <f t="shared" si="17"/>
        <v>-9.6404900582446277E-3</v>
      </c>
      <c r="J174" s="4">
        <f t="shared" si="17"/>
        <v>-7.9446828803051983E-2</v>
      </c>
      <c r="K174" s="4">
        <f t="shared" si="17"/>
        <v>-5.8823529411764705E-3</v>
      </c>
      <c r="L174" s="4">
        <f t="shared" si="17"/>
        <v>0.8997792892212062</v>
      </c>
      <c r="M174" s="4">
        <f t="shared" si="17"/>
        <v>-5.0571371291098635E-2</v>
      </c>
      <c r="N174" s="4">
        <f t="shared" si="17"/>
        <v>-0.4385593220338983</v>
      </c>
      <c r="O174" s="4">
        <f t="shared" si="17"/>
        <v>-3.5052251803931331E-2</v>
      </c>
      <c r="P174" s="4">
        <f t="shared" si="17"/>
        <v>-6.8201193520886615E-3</v>
      </c>
      <c r="Q174" s="4">
        <f t="shared" si="17"/>
        <v>-2.5449871465295631E-2</v>
      </c>
      <c r="R174" s="4">
        <f t="shared" si="17"/>
        <v>-9.928021841648052E-3</v>
      </c>
      <c r="S174" s="4">
        <f t="shared" si="17"/>
        <v>-2.5496876774559907E-2</v>
      </c>
      <c r="T174" s="4">
        <f t="shared" si="17"/>
        <v>-4.4247787610619468E-2</v>
      </c>
      <c r="U174" s="4">
        <f t="shared" si="17"/>
        <v>-9.7093879737511716E-3</v>
      </c>
      <c r="V174" s="4">
        <f t="shared" si="17"/>
        <v>-9.2077087794432549E-3</v>
      </c>
      <c r="W174" s="4">
        <f t="shared" si="17"/>
        <v>-4.3258168430740915E-2</v>
      </c>
      <c r="X174" s="4">
        <f t="shared" si="17"/>
        <v>-3.7066916686653729E-3</v>
      </c>
      <c r="Y174" s="4">
        <f t="shared" si="17"/>
        <v>-6.7208064967796133E-3</v>
      </c>
      <c r="Z174" s="4">
        <f t="shared" si="17"/>
        <v>-1.2554335392358727E-2</v>
      </c>
      <c r="AA174" s="4">
        <f t="shared" si="17"/>
        <v>-9.9581322323661105E-3</v>
      </c>
      <c r="AB174" s="4">
        <f t="shared" si="17"/>
        <v>-3.4560402157406919E-3</v>
      </c>
      <c r="AC174" s="4">
        <f t="shared" si="17"/>
        <v>-3.3970810266733772E-3</v>
      </c>
      <c r="AD174" s="4">
        <f t="shared" si="17"/>
        <v>-6.616325062927004E-3</v>
      </c>
      <c r="AE174" s="4">
        <f t="shared" si="17"/>
        <v>-3.0625564815744554E-3</v>
      </c>
      <c r="AF174" s="4">
        <f t="shared" si="17"/>
        <v>-3.114382785956965E-3</v>
      </c>
      <c r="AG174" s="4">
        <f t="shared" si="17"/>
        <v>-4.6215492022911083E-3</v>
      </c>
      <c r="AH174" s="4">
        <f t="shared" si="17"/>
        <v>-4.1505303923219397E-2</v>
      </c>
      <c r="AI174" s="4">
        <f t="shared" si="17"/>
        <v>-2.3880809808953522E-3</v>
      </c>
      <c r="AJ174" s="4">
        <f t="shared" si="17"/>
        <v>-1.8289560318969931E-3</v>
      </c>
      <c r="AK174" s="4">
        <f t="shared" si="17"/>
        <v>-8.3545678599774426E-4</v>
      </c>
      <c r="AL174" s="4">
        <f t="shared" si="17"/>
        <v>-1.33625081427784E-3</v>
      </c>
      <c r="AM174" s="4">
        <f t="shared" si="17"/>
        <v>-3.7448347107438018E-3</v>
      </c>
      <c r="AN174" s="4">
        <f t="shared" si="17"/>
        <v>-4.4689058236899049E-3</v>
      </c>
      <c r="AO174" s="4">
        <f t="shared" si="17"/>
        <v>-3.0701123195109748E-3</v>
      </c>
      <c r="AP174" s="4">
        <f t="shared" si="17"/>
        <v>-3.7375204395649034E-3</v>
      </c>
      <c r="AQ174" s="4">
        <f t="shared" si="17"/>
        <v>-9.2797812622988172E-3</v>
      </c>
      <c r="AR174" s="4">
        <f t="shared" si="17"/>
        <v>-1.2966905360944454E-2</v>
      </c>
      <c r="AS174" s="4">
        <f t="shared" si="17"/>
        <v>-2.3904914529914528E-2</v>
      </c>
      <c r="AT174" s="12">
        <f t="shared" si="17"/>
        <v>0</v>
      </c>
    </row>
    <row r="175" spans="1:46" x14ac:dyDescent="0.25">
      <c r="A175" s="18" t="s">
        <v>57</v>
      </c>
      <c r="B175" s="22">
        <f t="shared" si="17"/>
        <v>-4.9445588354727907E-3</v>
      </c>
      <c r="C175" s="4">
        <f t="shared" si="17"/>
        <v>-3.9044706188585927E-4</v>
      </c>
      <c r="D175" s="4">
        <f t="shared" si="17"/>
        <v>0</v>
      </c>
      <c r="E175" s="4">
        <f t="shared" si="17"/>
        <v>-4.2465249271013216E-4</v>
      </c>
      <c r="F175" s="4">
        <f t="shared" si="17"/>
        <v>-4.9158166400393262E-4</v>
      </c>
      <c r="G175" s="4">
        <f t="shared" si="17"/>
        <v>-2.7161121467171295E-3</v>
      </c>
      <c r="H175" s="4">
        <f t="shared" si="17"/>
        <v>-2.9888160431932129E-3</v>
      </c>
      <c r="I175" s="4">
        <f t="shared" si="17"/>
        <v>-1.8075918859208678E-3</v>
      </c>
      <c r="J175" s="4">
        <f t="shared" si="17"/>
        <v>-7.2484501669051026E-3</v>
      </c>
      <c r="K175" s="4">
        <f t="shared" si="17"/>
        <v>0</v>
      </c>
      <c r="L175" s="4">
        <f t="shared" si="17"/>
        <v>-1.0239778988934432E-2</v>
      </c>
      <c r="M175" s="4">
        <f t="shared" si="17"/>
        <v>0.85414995990376907</v>
      </c>
      <c r="N175" s="4">
        <f t="shared" si="17"/>
        <v>-2.7118644067796613E-2</v>
      </c>
      <c r="O175" s="4">
        <f t="shared" si="17"/>
        <v>-3.3901468026872358E-3</v>
      </c>
      <c r="P175" s="4">
        <f t="shared" si="17"/>
        <v>-7.5221904618624942E-4</v>
      </c>
      <c r="Q175" s="4">
        <f t="shared" si="17"/>
        <v>-3.084832904884319E-3</v>
      </c>
      <c r="R175" s="4">
        <f t="shared" si="17"/>
        <v>-1.9856043683296105E-3</v>
      </c>
      <c r="S175" s="4">
        <f t="shared" si="17"/>
        <v>-2.7541169789892105E-3</v>
      </c>
      <c r="T175" s="4">
        <f t="shared" si="17"/>
        <v>-6.1266167460857727E-3</v>
      </c>
      <c r="U175" s="4">
        <f t="shared" si="17"/>
        <v>-1.2499441989196911E-3</v>
      </c>
      <c r="V175" s="4">
        <f t="shared" si="17"/>
        <v>-8.565310492505354E-4</v>
      </c>
      <c r="W175" s="4">
        <f t="shared" si="17"/>
        <v>-3.4514496088357111E-3</v>
      </c>
      <c r="X175" s="4">
        <f t="shared" si="17"/>
        <v>-5.6690578461940995E-4</v>
      </c>
      <c r="Y175" s="4">
        <f t="shared" si="17"/>
        <v>-8.4010081209745166E-4</v>
      </c>
      <c r="Z175" s="4">
        <f t="shared" si="17"/>
        <v>-1.2225463280713797E-3</v>
      </c>
      <c r="AA175" s="4">
        <f t="shared" si="17"/>
        <v>-2.2896435424783392E-3</v>
      </c>
      <c r="AB175" s="4">
        <f t="shared" si="17"/>
        <v>-8.6401005393517297E-4</v>
      </c>
      <c r="AC175" s="4">
        <f t="shared" si="17"/>
        <v>-1.1323603422244591E-3</v>
      </c>
      <c r="AD175" s="4">
        <f t="shared" si="17"/>
        <v>-1.9417475728155341E-3</v>
      </c>
      <c r="AE175" s="4">
        <f t="shared" si="17"/>
        <v>-1.0543227231649764E-3</v>
      </c>
      <c r="AF175" s="4">
        <f t="shared" si="17"/>
        <v>-9.9093997734994331E-4</v>
      </c>
      <c r="AG175" s="4">
        <f t="shared" si="17"/>
        <v>-1.0570564664814769E-3</v>
      </c>
      <c r="AH175" s="4">
        <f t="shared" si="17"/>
        <v>-5.7248695066509517E-3</v>
      </c>
      <c r="AI175" s="4">
        <f t="shared" si="17"/>
        <v>-8.5543199315654401E-4</v>
      </c>
      <c r="AJ175" s="4">
        <f t="shared" si="17"/>
        <v>-7.3158241275879724E-4</v>
      </c>
      <c r="AK175" s="4">
        <f t="shared" si="17"/>
        <v>-3.6203127393235587E-4</v>
      </c>
      <c r="AL175" s="4">
        <f t="shared" si="17"/>
        <v>-2.17140757320149E-4</v>
      </c>
      <c r="AM175" s="4">
        <f t="shared" si="17"/>
        <v>-1.6270661157024792E-3</v>
      </c>
      <c r="AN175" s="4">
        <f t="shared" si="17"/>
        <v>-9.4082227867155882E-4</v>
      </c>
      <c r="AO175" s="4">
        <f t="shared" si="17"/>
        <v>-2.2477608053562493E-3</v>
      </c>
      <c r="AP175" s="4">
        <f t="shared" si="17"/>
        <v>-2.9148596906389329E-3</v>
      </c>
      <c r="AQ175" s="4">
        <f t="shared" si="17"/>
        <v>-1.5804627462352672E-2</v>
      </c>
      <c r="AR175" s="4">
        <f t="shared" si="17"/>
        <v>-5.4190052254693239E-3</v>
      </c>
      <c r="AS175" s="4">
        <f t="shared" si="17"/>
        <v>-5.074786324786325E-3</v>
      </c>
      <c r="AT175" s="12">
        <f t="shared" si="17"/>
        <v>0</v>
      </c>
    </row>
    <row r="176" spans="1:46" x14ac:dyDescent="0.25">
      <c r="A176" s="18" t="s">
        <v>58</v>
      </c>
      <c r="B176" s="22">
        <f t="shared" si="17"/>
        <v>-2.030374401039552E-3</v>
      </c>
      <c r="C176" s="4">
        <f t="shared" si="17"/>
        <v>-3.253725515715494E-3</v>
      </c>
      <c r="D176" s="4">
        <f t="shared" si="17"/>
        <v>0</v>
      </c>
      <c r="E176" s="4">
        <f t="shared" si="17"/>
        <v>-8.1533278600345385E-3</v>
      </c>
      <c r="F176" s="4">
        <f t="shared" si="17"/>
        <v>-1.1060587440088485E-3</v>
      </c>
      <c r="G176" s="4">
        <f t="shared" si="17"/>
        <v>-1.014893897456175E-2</v>
      </c>
      <c r="H176" s="4">
        <f t="shared" si="17"/>
        <v>-2.222329348245276E-2</v>
      </c>
      <c r="I176" s="4">
        <f t="shared" si="17"/>
        <v>-2.4101225145611569E-3</v>
      </c>
      <c r="J176" s="4">
        <f t="shared" si="17"/>
        <v>-6.1039580352885078E-3</v>
      </c>
      <c r="K176" s="4">
        <f t="shared" si="17"/>
        <v>-5.8823529411764705E-3</v>
      </c>
      <c r="L176" s="4">
        <f t="shared" si="17"/>
        <v>-5.5102623004969747E-3</v>
      </c>
      <c r="M176" s="4">
        <f t="shared" si="17"/>
        <v>-7.4178027265437048E-3</v>
      </c>
      <c r="N176" s="4">
        <f t="shared" si="17"/>
        <v>0.9576271186440678</v>
      </c>
      <c r="O176" s="4">
        <f t="shared" si="17"/>
        <v>-2.2704652898731027E-3</v>
      </c>
      <c r="P176" s="4">
        <f t="shared" si="17"/>
        <v>-1.4041422195476656E-3</v>
      </c>
      <c r="Q176" s="4">
        <f t="shared" si="17"/>
        <v>-4.1988003427592116E-3</v>
      </c>
      <c r="R176" s="4">
        <f t="shared" si="17"/>
        <v>-1.116902457185406E-3</v>
      </c>
      <c r="S176" s="4">
        <f t="shared" si="17"/>
        <v>-2.8023850085178877E-2</v>
      </c>
      <c r="T176" s="4">
        <f t="shared" si="17"/>
        <v>-6.5350578624914904E-2</v>
      </c>
      <c r="U176" s="4">
        <f t="shared" si="17"/>
        <v>-2.4195348421945453E-2</v>
      </c>
      <c r="V176" s="4">
        <f t="shared" si="17"/>
        <v>-6.4239828693790147E-4</v>
      </c>
      <c r="W176" s="4">
        <f t="shared" si="17"/>
        <v>-1.3882497315539194E-2</v>
      </c>
      <c r="X176" s="4">
        <f t="shared" si="17"/>
        <v>-3.0525696094891306E-4</v>
      </c>
      <c r="Y176" s="4">
        <f t="shared" si="17"/>
        <v>-5.6006720806496785E-4</v>
      </c>
      <c r="Z176" s="4">
        <f t="shared" si="17"/>
        <v>-7.3924731182795703E-3</v>
      </c>
      <c r="AA176" s="4">
        <f t="shared" si="17"/>
        <v>-2.0664941559574344E-2</v>
      </c>
      <c r="AB176" s="4">
        <f t="shared" si="17"/>
        <v>-5.2887888149971193E-3</v>
      </c>
      <c r="AC176" s="4">
        <f t="shared" si="17"/>
        <v>-1.5098137896326119E-3</v>
      </c>
      <c r="AD176" s="4">
        <f t="shared" si="17"/>
        <v>-2.8047464940668823E-3</v>
      </c>
      <c r="AE176" s="4">
        <f t="shared" si="17"/>
        <v>-2.6609097298925595E-3</v>
      </c>
      <c r="AF176" s="4">
        <f t="shared" ref="AF176:AT176" si="18">AF126-AF70</f>
        <v>-2.8312570781426955E-4</v>
      </c>
      <c r="AG176" s="4">
        <f t="shared" si="18"/>
        <v>-9.0956021534452673E-4</v>
      </c>
      <c r="AH176" s="4">
        <f t="shared" si="18"/>
        <v>-3.115002525677724E-3</v>
      </c>
      <c r="AI176" s="4">
        <f t="shared" si="18"/>
        <v>-1.7821499857428001E-4</v>
      </c>
      <c r="AJ176" s="4">
        <f t="shared" si="18"/>
        <v>-1.4631648255175944E-4</v>
      </c>
      <c r="AK176" s="4">
        <f t="shared" si="18"/>
        <v>-4.1772839299887212E-5</v>
      </c>
      <c r="AL176" s="4">
        <f t="shared" si="18"/>
        <v>-1.1692194624931099E-4</v>
      </c>
      <c r="AM176" s="4">
        <f t="shared" si="18"/>
        <v>-3.0991735537190079E-4</v>
      </c>
      <c r="AN176" s="4">
        <f t="shared" si="18"/>
        <v>-4.2337002540220151E-4</v>
      </c>
      <c r="AO176" s="4">
        <f t="shared" si="18"/>
        <v>-2.1655256539407771E-3</v>
      </c>
      <c r="AP176" s="4">
        <f t="shared" si="18"/>
        <v>-1.6250088867673495E-4</v>
      </c>
      <c r="AQ176" s="4">
        <f t="shared" si="18"/>
        <v>-2.8999316444683804E-4</v>
      </c>
      <c r="AR176" s="4">
        <f t="shared" si="18"/>
        <v>-1.354751306367331E-3</v>
      </c>
      <c r="AS176" s="4">
        <f t="shared" si="18"/>
        <v>-1.6025641025641025E-3</v>
      </c>
      <c r="AT176" s="12">
        <f t="shared" si="18"/>
        <v>0</v>
      </c>
    </row>
    <row r="177" spans="1:46" x14ac:dyDescent="0.25">
      <c r="A177" s="18" t="s">
        <v>59</v>
      </c>
      <c r="B177" s="22">
        <f t="shared" ref="B177:AT182" si="19">B127-B71</f>
        <v>-2.3886757659288845E-4</v>
      </c>
      <c r="C177" s="4">
        <f t="shared" si="19"/>
        <v>-2.6029804125723955E-4</v>
      </c>
      <c r="D177" s="4">
        <f t="shared" si="19"/>
        <v>0</v>
      </c>
      <c r="E177" s="4">
        <f t="shared" si="19"/>
        <v>-1.0191659825043173E-3</v>
      </c>
      <c r="F177" s="4">
        <f t="shared" si="19"/>
        <v>-1.9663266560157305E-3</v>
      </c>
      <c r="G177" s="4">
        <f t="shared" si="19"/>
        <v>-1.868798132143328E-3</v>
      </c>
      <c r="H177" s="4">
        <f t="shared" si="19"/>
        <v>-2.008612932253503E-3</v>
      </c>
      <c r="I177" s="4">
        <f t="shared" si="19"/>
        <v>-3.012653143201446E-3</v>
      </c>
      <c r="J177" s="4">
        <f t="shared" si="19"/>
        <v>-3.5288507391511687E-3</v>
      </c>
      <c r="K177" s="4">
        <f t="shared" si="19"/>
        <v>0</v>
      </c>
      <c r="L177" s="4">
        <f t="shared" si="19"/>
        <v>-4.4742729306487695E-3</v>
      </c>
      <c r="M177" s="4">
        <f t="shared" si="19"/>
        <v>-2.6563753007217321E-3</v>
      </c>
      <c r="N177" s="4">
        <f t="shared" si="19"/>
        <v>-4.6610169491525426E-3</v>
      </c>
      <c r="O177" s="4">
        <f t="shared" si="19"/>
        <v>0.91294476237870115</v>
      </c>
      <c r="P177" s="4">
        <f t="shared" si="19"/>
        <v>-1.3038463467228325E-3</v>
      </c>
      <c r="Q177" s="4">
        <f t="shared" si="19"/>
        <v>-2.2622107969151671E-2</v>
      </c>
      <c r="R177" s="4">
        <f t="shared" si="19"/>
        <v>-2.482005460412013E-3</v>
      </c>
      <c r="S177" s="4">
        <f t="shared" si="19"/>
        <v>-2.441794434980125E-3</v>
      </c>
      <c r="T177" s="4">
        <f t="shared" si="19"/>
        <v>-2.0422055820285907E-3</v>
      </c>
      <c r="U177" s="4">
        <f t="shared" si="19"/>
        <v>-1.7856345698852732E-2</v>
      </c>
      <c r="V177" s="4">
        <f t="shared" si="19"/>
        <v>-1.9271948608137045E-3</v>
      </c>
      <c r="W177" s="4">
        <f t="shared" si="19"/>
        <v>-2.5310630464795212E-3</v>
      </c>
      <c r="X177" s="4">
        <f t="shared" si="19"/>
        <v>-2.1804068639208075E-4</v>
      </c>
      <c r="Y177" s="4">
        <f t="shared" si="19"/>
        <v>-2.8003360403248392E-4</v>
      </c>
      <c r="Z177" s="4">
        <f t="shared" si="19"/>
        <v>-0.18724262182566917</v>
      </c>
      <c r="AA177" s="4">
        <f t="shared" si="19"/>
        <v>-2.3332558004303078E-3</v>
      </c>
      <c r="AB177" s="4">
        <f t="shared" si="19"/>
        <v>-7.592815625490914E-4</v>
      </c>
      <c r="AC177" s="4">
        <f t="shared" si="19"/>
        <v>-7.5490689481630597E-4</v>
      </c>
      <c r="AD177" s="4">
        <f t="shared" si="19"/>
        <v>-1.3664149586479683E-3</v>
      </c>
      <c r="AE177" s="4">
        <f t="shared" si="19"/>
        <v>-7.5308765940355459E-4</v>
      </c>
      <c r="AF177" s="4">
        <f t="shared" si="19"/>
        <v>-4.2468856172140431E-4</v>
      </c>
      <c r="AG177" s="4">
        <f t="shared" si="19"/>
        <v>-7.8664667273040144E-4</v>
      </c>
      <c r="AH177" s="4">
        <f t="shared" si="19"/>
        <v>-1.8521636639164845E-3</v>
      </c>
      <c r="AI177" s="4">
        <f t="shared" si="19"/>
        <v>-3.9207299686341607E-4</v>
      </c>
      <c r="AJ177" s="4">
        <f t="shared" si="19"/>
        <v>-2.1947472382763915E-4</v>
      </c>
      <c r="AK177" s="4">
        <f t="shared" si="19"/>
        <v>-1.2531851789966166E-4</v>
      </c>
      <c r="AL177" s="4">
        <f t="shared" si="19"/>
        <v>-1.3362508142778401E-4</v>
      </c>
      <c r="AM177" s="4">
        <f t="shared" si="19"/>
        <v>-2.5826446280991736E-4</v>
      </c>
      <c r="AN177" s="4">
        <f t="shared" si="19"/>
        <v>-2.8224668360146764E-4</v>
      </c>
      <c r="AO177" s="4">
        <f t="shared" si="19"/>
        <v>-7.9493979701623463E-4</v>
      </c>
      <c r="AP177" s="4">
        <f t="shared" si="19"/>
        <v>-1.7265719421903088E-4</v>
      </c>
      <c r="AQ177" s="4">
        <f t="shared" si="19"/>
        <v>-2.692793669863496E-4</v>
      </c>
      <c r="AR177" s="4">
        <f t="shared" si="19"/>
        <v>-7.7414360363847496E-4</v>
      </c>
      <c r="AS177" s="4">
        <f t="shared" si="19"/>
        <v>-8.0128205128205125E-4</v>
      </c>
      <c r="AT177" s="12">
        <f t="shared" si="19"/>
        <v>0</v>
      </c>
    </row>
    <row r="178" spans="1:46" x14ac:dyDescent="0.25">
      <c r="A178" s="18" t="s">
        <v>60</v>
      </c>
      <c r="B178" s="22">
        <f t="shared" si="19"/>
        <v>-2.1020346740174186E-4</v>
      </c>
      <c r="C178" s="4">
        <f t="shared" si="19"/>
        <v>-7.1581961345740881E-4</v>
      </c>
      <c r="D178" s="4">
        <f t="shared" si="19"/>
        <v>0</v>
      </c>
      <c r="E178" s="4">
        <f t="shared" si="19"/>
        <v>-5.945134897941851E-4</v>
      </c>
      <c r="F178" s="4">
        <f t="shared" si="19"/>
        <v>-3.1952808160255622E-3</v>
      </c>
      <c r="G178" s="4">
        <f t="shared" si="19"/>
        <v>-3.1068180534372708E-4</v>
      </c>
      <c r="H178" s="4">
        <f t="shared" si="19"/>
        <v>-1.3497878904743541E-3</v>
      </c>
      <c r="I178" s="4">
        <f t="shared" si="19"/>
        <v>-2.8118096003213497E-3</v>
      </c>
      <c r="J178" s="4">
        <f t="shared" si="19"/>
        <v>-3.4334763948497857E-3</v>
      </c>
      <c r="K178" s="4">
        <f t="shared" si="19"/>
        <v>0</v>
      </c>
      <c r="L178" s="4">
        <f t="shared" si="19"/>
        <v>-7.5071693467261232E-4</v>
      </c>
      <c r="M178" s="4">
        <f t="shared" si="19"/>
        <v>-4.5108259823576583E-4</v>
      </c>
      <c r="N178" s="4">
        <f t="shared" si="19"/>
        <v>-1.1016949152542373E-2</v>
      </c>
      <c r="O178" s="4">
        <f t="shared" si="19"/>
        <v>-6.5967902463299324E-2</v>
      </c>
      <c r="P178" s="4">
        <f t="shared" si="19"/>
        <v>0.63076074419537642</v>
      </c>
      <c r="Q178" s="4">
        <f t="shared" si="19"/>
        <v>-0.23727506426735218</v>
      </c>
      <c r="R178" s="4">
        <f t="shared" si="19"/>
        <v>-1.4643832216430877E-2</v>
      </c>
      <c r="S178" s="4">
        <f t="shared" si="19"/>
        <v>-9.923339011925042E-2</v>
      </c>
      <c r="T178" s="4">
        <f t="shared" si="19"/>
        <v>-0.11232130701157249</v>
      </c>
      <c r="U178" s="4">
        <f t="shared" si="19"/>
        <v>-1.0535243962323112E-2</v>
      </c>
      <c r="V178" s="4">
        <f t="shared" si="19"/>
        <v>-4.411134903640257E-2</v>
      </c>
      <c r="W178" s="4">
        <f t="shared" si="19"/>
        <v>-3.2673722963644736E-2</v>
      </c>
      <c r="X178" s="4">
        <f t="shared" si="19"/>
        <v>-3.4886509822732923E-4</v>
      </c>
      <c r="Y178" s="4">
        <f t="shared" si="19"/>
        <v>-7.0008401008120975E-4</v>
      </c>
      <c r="Z178" s="4">
        <f t="shared" si="19"/>
        <v>-4.2281514527568058E-2</v>
      </c>
      <c r="AA178" s="4">
        <f t="shared" si="19"/>
        <v>-1.7081467697854277E-3</v>
      </c>
      <c r="AB178" s="4">
        <f t="shared" si="19"/>
        <v>-4.1891396554432633E-4</v>
      </c>
      <c r="AC178" s="4">
        <f t="shared" si="19"/>
        <v>-3.7745344740815299E-4</v>
      </c>
      <c r="AD178" s="4">
        <f t="shared" si="19"/>
        <v>-7.9108234448040278E-4</v>
      </c>
      <c r="AE178" s="4">
        <f t="shared" si="19"/>
        <v>-2.0082337584094789E-4</v>
      </c>
      <c r="AF178" s="4">
        <f t="shared" si="19"/>
        <v>-1.4156285390713478E-4</v>
      </c>
      <c r="AG178" s="4">
        <f t="shared" si="19"/>
        <v>-9.8330834091300181E-5</v>
      </c>
      <c r="AH178" s="4">
        <f t="shared" si="19"/>
        <v>-1.9363529213672335E-3</v>
      </c>
      <c r="AI178" s="4">
        <f t="shared" si="19"/>
        <v>-1.4257199885942402E-4</v>
      </c>
      <c r="AJ178" s="4">
        <f t="shared" si="19"/>
        <v>-2.1947472382763915E-4</v>
      </c>
      <c r="AK178" s="4">
        <f t="shared" si="19"/>
        <v>-4.1772839299887212E-5</v>
      </c>
      <c r="AL178" s="4">
        <f t="shared" si="19"/>
        <v>-1.1692194624931099E-4</v>
      </c>
      <c r="AM178" s="4">
        <f t="shared" si="19"/>
        <v>-4.907024793388429E-4</v>
      </c>
      <c r="AN178" s="4">
        <f t="shared" si="19"/>
        <v>-3.2928779753504559E-4</v>
      </c>
      <c r="AO178" s="4">
        <f t="shared" si="19"/>
        <v>-1.164997978385861E-4</v>
      </c>
      <c r="AP178" s="4">
        <f t="shared" si="19"/>
        <v>-1.8281349976132682E-4</v>
      </c>
      <c r="AQ178" s="4">
        <f t="shared" si="19"/>
        <v>-2.2785177206537276E-4</v>
      </c>
      <c r="AR178" s="4">
        <f t="shared" si="19"/>
        <v>-5.8060770272885614E-4</v>
      </c>
      <c r="AS178" s="4">
        <f t="shared" si="19"/>
        <v>-9.3482905982905987E-4</v>
      </c>
      <c r="AT178" s="12">
        <f t="shared" si="19"/>
        <v>0</v>
      </c>
    </row>
    <row r="179" spans="1:46" x14ac:dyDescent="0.25">
      <c r="A179" s="18" t="s">
        <v>61</v>
      </c>
      <c r="B179" s="22">
        <f t="shared" si="19"/>
        <v>-1.672073036150219E-4</v>
      </c>
      <c r="C179" s="4">
        <f t="shared" si="19"/>
        <v>-3.2537255157154944E-4</v>
      </c>
      <c r="D179" s="4">
        <f t="shared" si="19"/>
        <v>0</v>
      </c>
      <c r="E179" s="4">
        <f t="shared" si="19"/>
        <v>-3.4821504402230839E-3</v>
      </c>
      <c r="F179" s="4">
        <f t="shared" si="19"/>
        <v>-6.636352464053091E-3</v>
      </c>
      <c r="G179" s="4">
        <f t="shared" si="19"/>
        <v>-8.3695795439567688E-3</v>
      </c>
      <c r="H179" s="4">
        <f t="shared" si="19"/>
        <v>-1.3626430132407764E-2</v>
      </c>
      <c r="I179" s="4">
        <f t="shared" si="19"/>
        <v>-2.2092789716810605E-2</v>
      </c>
      <c r="J179" s="4">
        <f t="shared" si="19"/>
        <v>-5.3409632808774435E-3</v>
      </c>
      <c r="K179" s="4">
        <f t="shared" si="19"/>
        <v>-5.8823529411764705E-3</v>
      </c>
      <c r="L179" s="4">
        <f t="shared" si="19"/>
        <v>-4.7595453658243617E-3</v>
      </c>
      <c r="M179" s="4">
        <f t="shared" si="19"/>
        <v>-4.3103448275862068E-3</v>
      </c>
      <c r="N179" s="4">
        <f t="shared" si="19"/>
        <v>-5.4025423728813558E-3</v>
      </c>
      <c r="O179" s="4">
        <f t="shared" si="19"/>
        <v>-1.9065687982085095E-2</v>
      </c>
      <c r="P179" s="4">
        <f t="shared" si="19"/>
        <v>-2.8935359309964399E-2</v>
      </c>
      <c r="Q179" s="4">
        <f t="shared" si="19"/>
        <v>0.88667523564695805</v>
      </c>
      <c r="R179" s="4">
        <f t="shared" si="19"/>
        <v>-1.1044924298833459E-2</v>
      </c>
      <c r="S179" s="4">
        <f t="shared" si="19"/>
        <v>-1.2350936967632026E-2</v>
      </c>
      <c r="T179" s="4">
        <f t="shared" si="19"/>
        <v>-6.3308373042886321E-2</v>
      </c>
      <c r="U179" s="4">
        <f t="shared" si="19"/>
        <v>-1.5401098165260481E-2</v>
      </c>
      <c r="V179" s="4">
        <f t="shared" si="19"/>
        <v>-3.6616702355460391E-2</v>
      </c>
      <c r="W179" s="4">
        <f t="shared" si="19"/>
        <v>-2.8685381193434577E-2</v>
      </c>
      <c r="X179" s="4">
        <f t="shared" si="19"/>
        <v>-1.6135010793013977E-3</v>
      </c>
      <c r="Y179" s="4">
        <f t="shared" si="19"/>
        <v>-1.8202184262111453E-3</v>
      </c>
      <c r="Z179" s="4">
        <f t="shared" si="19"/>
        <v>-3.2386753603294439E-2</v>
      </c>
      <c r="AA179" s="4">
        <f t="shared" si="19"/>
        <v>-3.9832528929464438E-3</v>
      </c>
      <c r="AB179" s="4">
        <f t="shared" si="19"/>
        <v>-1.0211027910142954E-3</v>
      </c>
      <c r="AC179" s="4">
        <f t="shared" si="19"/>
        <v>-1.0065425264217415E-3</v>
      </c>
      <c r="AD179" s="4">
        <f t="shared" si="19"/>
        <v>-1.1506652283351313E-3</v>
      </c>
      <c r="AE179" s="4">
        <f t="shared" si="19"/>
        <v>-1.3053519429661613E-3</v>
      </c>
      <c r="AF179" s="4">
        <f t="shared" si="19"/>
        <v>-4.2468856172140431E-4</v>
      </c>
      <c r="AG179" s="4">
        <f t="shared" si="19"/>
        <v>-2.3599400181912042E-3</v>
      </c>
      <c r="AH179" s="4">
        <f t="shared" si="19"/>
        <v>-6.6509513386091941E-3</v>
      </c>
      <c r="AI179" s="4">
        <f t="shared" si="19"/>
        <v>-6.0593099515255202E-4</v>
      </c>
      <c r="AJ179" s="4">
        <f t="shared" si="19"/>
        <v>-6.584241714829175E-4</v>
      </c>
      <c r="AK179" s="4">
        <f t="shared" si="19"/>
        <v>-1.1139423813303258E-4</v>
      </c>
      <c r="AL179" s="4">
        <f t="shared" si="19"/>
        <v>-3.1735956839098697E-4</v>
      </c>
      <c r="AM179" s="4">
        <f t="shared" si="19"/>
        <v>-8.006198347107438E-4</v>
      </c>
      <c r="AN179" s="4">
        <f t="shared" si="19"/>
        <v>-1.2230689622730266E-3</v>
      </c>
      <c r="AO179" s="4">
        <f t="shared" si="19"/>
        <v>-4.3173454493123086E-4</v>
      </c>
      <c r="AP179" s="4">
        <f t="shared" si="19"/>
        <v>-2.437513330151024E-4</v>
      </c>
      <c r="AQ179" s="4">
        <f t="shared" si="19"/>
        <v>-3.3142075936781491E-4</v>
      </c>
      <c r="AR179" s="4">
        <f t="shared" si="19"/>
        <v>-3.6771821172827553E-3</v>
      </c>
      <c r="AS179" s="4">
        <f t="shared" si="19"/>
        <v>-3.4722222222222225E-3</v>
      </c>
      <c r="AT179" s="12">
        <f t="shared" si="19"/>
        <v>0</v>
      </c>
    </row>
    <row r="180" spans="1:46" x14ac:dyDescent="0.25">
      <c r="A180" s="18" t="s">
        <v>62</v>
      </c>
      <c r="B180" s="22">
        <f t="shared" si="19"/>
        <v>-1.5765260055130637E-4</v>
      </c>
      <c r="C180" s="4">
        <f t="shared" si="19"/>
        <v>-1.9522353094292963E-4</v>
      </c>
      <c r="D180" s="4">
        <f t="shared" si="19"/>
        <v>0</v>
      </c>
      <c r="E180" s="4">
        <f t="shared" si="19"/>
        <v>-1.415508309033774E-4</v>
      </c>
      <c r="F180" s="4">
        <f t="shared" si="19"/>
        <v>-8.6026791200688208E-4</v>
      </c>
      <c r="G180" s="4">
        <f t="shared" si="19"/>
        <v>-2.7302340469600257E-4</v>
      </c>
      <c r="H180" s="4">
        <f t="shared" si="19"/>
        <v>-5.1420491065689677E-4</v>
      </c>
      <c r="I180" s="4">
        <f t="shared" si="19"/>
        <v>-4.0168708576019286E-4</v>
      </c>
      <c r="J180" s="4">
        <f t="shared" si="19"/>
        <v>-6.6762041010968044E-4</v>
      </c>
      <c r="K180" s="4">
        <f t="shared" si="19"/>
        <v>0</v>
      </c>
      <c r="L180" s="4">
        <f t="shared" si="19"/>
        <v>-6.4561656381844658E-4</v>
      </c>
      <c r="M180" s="4">
        <f t="shared" si="19"/>
        <v>-8.5204490777866879E-4</v>
      </c>
      <c r="N180" s="4">
        <f t="shared" si="19"/>
        <v>-2.2245762711864407E-3</v>
      </c>
      <c r="O180" s="4">
        <f t="shared" si="19"/>
        <v>-5.909430206519035E-4</v>
      </c>
      <c r="P180" s="4">
        <f t="shared" si="19"/>
        <v>-3.5103555488691639E-4</v>
      </c>
      <c r="Q180" s="4">
        <f t="shared" si="19"/>
        <v>-2.0137103684661527E-3</v>
      </c>
      <c r="R180" s="4">
        <f t="shared" si="19"/>
        <v>0.76631918590220893</v>
      </c>
      <c r="S180" s="4">
        <f t="shared" si="19"/>
        <v>-5.2243043725156155E-3</v>
      </c>
      <c r="T180" s="4">
        <f t="shared" si="19"/>
        <v>-7.4880871341048332E-3</v>
      </c>
      <c r="U180" s="4">
        <f t="shared" si="19"/>
        <v>-2.2320432123565915E-3</v>
      </c>
      <c r="V180" s="4">
        <f t="shared" si="19"/>
        <v>-1.006423982869379E-2</v>
      </c>
      <c r="W180" s="4">
        <f t="shared" si="19"/>
        <v>-3.8349440098174566E-3</v>
      </c>
      <c r="X180" s="4">
        <f t="shared" si="19"/>
        <v>-2.0059743148071428E-3</v>
      </c>
      <c r="Y180" s="4">
        <f t="shared" si="19"/>
        <v>-2.2402688322598714E-3</v>
      </c>
      <c r="Z180" s="4">
        <f t="shared" si="19"/>
        <v>-1.079558453443148E-3</v>
      </c>
      <c r="AA180" s="4">
        <f t="shared" si="19"/>
        <v>-9.5220096528464263E-4</v>
      </c>
      <c r="AB180" s="4">
        <f t="shared" si="19"/>
        <v>-5.4982457977692837E-4</v>
      </c>
      <c r="AC180" s="4">
        <f t="shared" si="19"/>
        <v>-5.0327126321087076E-4</v>
      </c>
      <c r="AD180" s="4">
        <f t="shared" si="19"/>
        <v>-1.1506652283351313E-3</v>
      </c>
      <c r="AE180" s="4">
        <f t="shared" si="19"/>
        <v>-6.0247012752284365E-4</v>
      </c>
      <c r="AF180" s="4">
        <f t="shared" si="19"/>
        <v>-7.0781426953567383E-3</v>
      </c>
      <c r="AG180" s="4">
        <f t="shared" si="19"/>
        <v>-1.4749625113695026E-4</v>
      </c>
      <c r="AH180" s="4">
        <f t="shared" si="19"/>
        <v>-6.4825728237076956E-3</v>
      </c>
      <c r="AI180" s="4">
        <f t="shared" si="19"/>
        <v>-2.6767892785856857E-2</v>
      </c>
      <c r="AJ180" s="4">
        <f t="shared" si="19"/>
        <v>-2.4142219621040308E-3</v>
      </c>
      <c r="AK180" s="4">
        <f t="shared" si="19"/>
        <v>-6.9621398833145359E-5</v>
      </c>
      <c r="AL180" s="4">
        <f t="shared" si="19"/>
        <v>-1.00218811070838E-4</v>
      </c>
      <c r="AM180" s="4">
        <f t="shared" si="19"/>
        <v>-9.0392561983471077E-4</v>
      </c>
      <c r="AN180" s="4">
        <f t="shared" si="19"/>
        <v>-8.4674005080440302E-4</v>
      </c>
      <c r="AO180" s="4">
        <f t="shared" si="19"/>
        <v>-2.9673183802416342E-3</v>
      </c>
      <c r="AP180" s="4">
        <f t="shared" si="19"/>
        <v>-3.7172078284803118E-3</v>
      </c>
      <c r="AQ180" s="4">
        <f t="shared" si="19"/>
        <v>-7.8505292375251161E-3</v>
      </c>
      <c r="AR180" s="4">
        <f t="shared" si="19"/>
        <v>-1.5482872072769499E-3</v>
      </c>
      <c r="AS180" s="4">
        <f t="shared" si="19"/>
        <v>-2.2702991452991455E-3</v>
      </c>
      <c r="AT180" s="12">
        <f t="shared" si="19"/>
        <v>0</v>
      </c>
    </row>
    <row r="181" spans="1:46" x14ac:dyDescent="0.25">
      <c r="A181" s="18" t="s">
        <v>63</v>
      </c>
      <c r="B181" s="22">
        <f t="shared" si="19"/>
        <v>-1.2421113982830201E-4</v>
      </c>
      <c r="C181" s="4">
        <f t="shared" si="19"/>
        <v>-1.9522353094292963E-4</v>
      </c>
      <c r="D181" s="4">
        <f t="shared" si="19"/>
        <v>0</v>
      </c>
      <c r="E181" s="4">
        <f t="shared" si="19"/>
        <v>-4.2465249271013216E-4</v>
      </c>
      <c r="F181" s="4">
        <f t="shared" si="19"/>
        <v>-1.2289541600098315E-3</v>
      </c>
      <c r="G181" s="4">
        <f t="shared" si="19"/>
        <v>-3.2951100566758933E-4</v>
      </c>
      <c r="H181" s="4">
        <f t="shared" si="19"/>
        <v>-8.3558297981745728E-4</v>
      </c>
      <c r="I181" s="4">
        <f t="shared" si="19"/>
        <v>-6.0253062864028923E-4</v>
      </c>
      <c r="J181" s="4">
        <f t="shared" si="19"/>
        <v>-7.6299475441106348E-4</v>
      </c>
      <c r="K181" s="4">
        <f t="shared" si="19"/>
        <v>-5.8823529411764705E-3</v>
      </c>
      <c r="L181" s="4">
        <f t="shared" si="19"/>
        <v>-8.5731873939612329E-3</v>
      </c>
      <c r="M181" s="4">
        <f t="shared" si="19"/>
        <v>-6.2650360866078588E-3</v>
      </c>
      <c r="N181" s="4">
        <f t="shared" si="19"/>
        <v>-4.7669491525423732E-3</v>
      </c>
      <c r="O181" s="4">
        <f t="shared" si="19"/>
        <v>-2.0216471759144069E-3</v>
      </c>
      <c r="P181" s="4">
        <f t="shared" si="19"/>
        <v>-2.8082844390953311E-3</v>
      </c>
      <c r="Q181" s="4">
        <f t="shared" si="19"/>
        <v>-6.8123393316195371E-3</v>
      </c>
      <c r="R181" s="4">
        <f t="shared" si="19"/>
        <v>-0.20749565649044427</v>
      </c>
      <c r="S181" s="4">
        <f t="shared" si="19"/>
        <v>0.80485519591141397</v>
      </c>
      <c r="T181" s="4">
        <f t="shared" si="19"/>
        <v>-1.1912865895166779E-2</v>
      </c>
      <c r="U181" s="4">
        <f t="shared" si="19"/>
        <v>-3.9150037944734616E-2</v>
      </c>
      <c r="V181" s="4">
        <f t="shared" si="19"/>
        <v>-7.2805139186295498E-3</v>
      </c>
      <c r="W181" s="4">
        <f t="shared" si="19"/>
        <v>-7.516490259242216E-3</v>
      </c>
      <c r="X181" s="4">
        <f t="shared" si="19"/>
        <v>-9.1577088284673924E-3</v>
      </c>
      <c r="Y181" s="4">
        <f t="shared" si="19"/>
        <v>-6.1607392887146461E-3</v>
      </c>
      <c r="Z181" s="4">
        <f t="shared" si="19"/>
        <v>-1.3040494166094714E-2</v>
      </c>
      <c r="AA181" s="4">
        <f t="shared" si="19"/>
        <v>-6.9125428853869858E-3</v>
      </c>
      <c r="AB181" s="4">
        <f t="shared" si="19"/>
        <v>-2.1731161962611932E-3</v>
      </c>
      <c r="AC181" s="4">
        <f t="shared" si="19"/>
        <v>-1.2581781580271766E-3</v>
      </c>
      <c r="AD181" s="4">
        <f t="shared" si="19"/>
        <v>-1.7259978425026969E-3</v>
      </c>
      <c r="AE181" s="4">
        <f t="shared" si="19"/>
        <v>-2.1588512902901897E-3</v>
      </c>
      <c r="AF181" s="4">
        <f t="shared" si="19"/>
        <v>-2.1234428086070217E-3</v>
      </c>
      <c r="AG181" s="4">
        <f t="shared" si="19"/>
        <v>-1.4749625113695026E-4</v>
      </c>
      <c r="AH181" s="4">
        <f t="shared" si="19"/>
        <v>-3.283381040579222E-3</v>
      </c>
      <c r="AI181" s="4">
        <f t="shared" si="19"/>
        <v>-6.5226689478186488E-3</v>
      </c>
      <c r="AJ181" s="4">
        <f t="shared" si="19"/>
        <v>-1.0242153778623161E-3</v>
      </c>
      <c r="AK181" s="4">
        <f t="shared" si="19"/>
        <v>-5.5697119066516289E-5</v>
      </c>
      <c r="AL181" s="4">
        <f t="shared" si="19"/>
        <v>-2.3384389249862198E-4</v>
      </c>
      <c r="AM181" s="4">
        <f t="shared" si="19"/>
        <v>-8.2644628099173563E-4</v>
      </c>
      <c r="AN181" s="4">
        <f t="shared" si="19"/>
        <v>-9.8786339260513683E-4</v>
      </c>
      <c r="AO181" s="4">
        <f t="shared" si="19"/>
        <v>-1.5076444426169968E-4</v>
      </c>
      <c r="AP181" s="4">
        <f t="shared" si="19"/>
        <v>-2.5390763855739836E-4</v>
      </c>
      <c r="AQ181" s="4">
        <f t="shared" si="19"/>
        <v>-3.9356215174928021E-4</v>
      </c>
      <c r="AR181" s="4">
        <f t="shared" si="19"/>
        <v>-1.1612154054577123E-3</v>
      </c>
      <c r="AS181" s="4">
        <f t="shared" si="19"/>
        <v>-1.4690170940170942E-3</v>
      </c>
      <c r="AT181" s="12">
        <f t="shared" si="19"/>
        <v>0</v>
      </c>
    </row>
    <row r="182" spans="1:46" x14ac:dyDescent="0.25">
      <c r="A182" s="18" t="s">
        <v>64</v>
      </c>
      <c r="B182" s="22">
        <f t="shared" si="19"/>
        <v>-1.9252726673386809E-3</v>
      </c>
      <c r="C182" s="4">
        <f t="shared" si="19"/>
        <v>-5.8567059282878893E-4</v>
      </c>
      <c r="D182" s="4">
        <f t="shared" si="19"/>
        <v>0</v>
      </c>
      <c r="E182" s="4">
        <f t="shared" si="19"/>
        <v>-8.1816380262152138E-3</v>
      </c>
      <c r="F182" s="4">
        <f t="shared" si="19"/>
        <v>-1.0446110360083569E-2</v>
      </c>
      <c r="G182" s="4">
        <f t="shared" si="19"/>
        <v>-1.1956542205652527E-3</v>
      </c>
      <c r="H182" s="4">
        <f t="shared" si="19"/>
        <v>-6.572181514333462E-3</v>
      </c>
      <c r="I182" s="4">
        <f t="shared" si="19"/>
        <v>-3.2134966860815429E-3</v>
      </c>
      <c r="J182" s="4">
        <f t="shared" si="19"/>
        <v>-8.5836909871244641E-4</v>
      </c>
      <c r="K182" s="4">
        <f t="shared" si="19"/>
        <v>-5.8823529411764705E-3</v>
      </c>
      <c r="L182" s="4">
        <f t="shared" si="19"/>
        <v>-2.1170217557767669E-3</v>
      </c>
      <c r="M182" s="4">
        <f t="shared" si="19"/>
        <v>-2.5060144346431435E-3</v>
      </c>
      <c r="N182" s="4">
        <f t="shared" si="19"/>
        <v>-1.6949152542372883E-3</v>
      </c>
      <c r="O182" s="4">
        <f t="shared" si="19"/>
        <v>-7.1224185120676783E-3</v>
      </c>
      <c r="P182" s="4">
        <f t="shared" si="19"/>
        <v>-6.8702672885010783E-3</v>
      </c>
      <c r="Q182" s="4">
        <f t="shared" si="19"/>
        <v>-4.8414738646101116E-3</v>
      </c>
      <c r="R182" s="4">
        <f t="shared" si="19"/>
        <v>-9.4316207495656491E-3</v>
      </c>
      <c r="S182" s="4">
        <f t="shared" si="19"/>
        <v>-5.2526973310618964E-3</v>
      </c>
      <c r="T182" s="4">
        <f t="shared" si="19"/>
        <v>0.88155207624234178</v>
      </c>
      <c r="U182" s="4">
        <f t="shared" si="19"/>
        <v>-1.4329717423329317E-2</v>
      </c>
      <c r="V182" s="4">
        <f t="shared" si="19"/>
        <v>-2.1627408993576017E-2</v>
      </c>
      <c r="W182" s="4">
        <f t="shared" si="19"/>
        <v>-1.6413560362018714E-2</v>
      </c>
      <c r="X182" s="4">
        <f t="shared" si="19"/>
        <v>-9.9426552994788826E-3</v>
      </c>
      <c r="Y182" s="4">
        <f t="shared" si="19"/>
        <v>-1.2041444973396806E-2</v>
      </c>
      <c r="Z182" s="4">
        <f t="shared" si="19"/>
        <v>-5.8625028597574921E-3</v>
      </c>
      <c r="AA182" s="4">
        <f t="shared" si="19"/>
        <v>-6.0257603070302959E-3</v>
      </c>
      <c r="AB182" s="4">
        <f t="shared" si="19"/>
        <v>-1.0996491595538567E-3</v>
      </c>
      <c r="AC182" s="4">
        <f t="shared" si="19"/>
        <v>-1.2581781580271766E-3</v>
      </c>
      <c r="AD182" s="4">
        <f t="shared" si="19"/>
        <v>-2.0136641495864796E-3</v>
      </c>
      <c r="AE182" s="4">
        <f t="shared" si="19"/>
        <v>-1.2049402550456873E-3</v>
      </c>
      <c r="AF182" s="4">
        <f t="shared" ref="AF182:AT182" si="20">AF132-AF76</f>
        <v>-5.6625141562853911E-4</v>
      </c>
      <c r="AG182" s="4">
        <f t="shared" si="20"/>
        <v>-2.7040979375107549E-4</v>
      </c>
      <c r="AH182" s="4">
        <f t="shared" si="20"/>
        <v>-1.4480552281528877E-2</v>
      </c>
      <c r="AI182" s="4">
        <f t="shared" si="20"/>
        <v>-6.0593099515255202E-4</v>
      </c>
      <c r="AJ182" s="4">
        <f t="shared" si="20"/>
        <v>-2.1215889970005119E-3</v>
      </c>
      <c r="AK182" s="4">
        <f t="shared" si="20"/>
        <v>-5.5697119066516289E-5</v>
      </c>
      <c r="AL182" s="4">
        <f t="shared" si="20"/>
        <v>-7.5164108303128502E-4</v>
      </c>
      <c r="AM182" s="4">
        <f t="shared" si="20"/>
        <v>-2.608471074380165E-3</v>
      </c>
      <c r="AN182" s="4">
        <f t="shared" si="20"/>
        <v>-6.0683036974315549E-3</v>
      </c>
      <c r="AO182" s="4">
        <f t="shared" si="20"/>
        <v>-3.6320525208500377E-4</v>
      </c>
      <c r="AP182" s="4">
        <f t="shared" si="20"/>
        <v>-1.9601669696631152E-3</v>
      </c>
      <c r="AQ182" s="4">
        <f t="shared" si="20"/>
        <v>-2.6720798724030079E-3</v>
      </c>
      <c r="AR182" s="4">
        <f t="shared" si="20"/>
        <v>-8.3220437391136048E-3</v>
      </c>
      <c r="AS182" s="4">
        <f t="shared" si="20"/>
        <v>-9.8824786324786338E-3</v>
      </c>
      <c r="AT182" s="12">
        <f t="shared" si="20"/>
        <v>0</v>
      </c>
    </row>
    <row r="183" spans="1:46" x14ac:dyDescent="0.25">
      <c r="A183" s="18" t="s">
        <v>65</v>
      </c>
      <c r="B183" s="22">
        <f t="shared" ref="B183:AT188" si="21">B133-B77</f>
        <v>-2.4364492812474619E-4</v>
      </c>
      <c r="C183" s="4">
        <f t="shared" si="21"/>
        <v>-6.5074510314309887E-4</v>
      </c>
      <c r="D183" s="4">
        <f t="shared" si="21"/>
        <v>0</v>
      </c>
      <c r="E183" s="4">
        <f t="shared" si="21"/>
        <v>-4.8127282507148312E-4</v>
      </c>
      <c r="F183" s="4">
        <f t="shared" si="21"/>
        <v>-1.7205358240137642E-3</v>
      </c>
      <c r="G183" s="4">
        <f t="shared" si="21"/>
        <v>-7.0138771206386874E-4</v>
      </c>
      <c r="H183" s="4">
        <f t="shared" si="21"/>
        <v>-1.4301324077644942E-3</v>
      </c>
      <c r="I183" s="4">
        <f t="shared" si="21"/>
        <v>-1.0042177144004821E-3</v>
      </c>
      <c r="J183" s="4">
        <f t="shared" si="21"/>
        <v>-7.6299475441106348E-4</v>
      </c>
      <c r="K183" s="4">
        <f t="shared" si="21"/>
        <v>0</v>
      </c>
      <c r="L183" s="4">
        <f t="shared" si="21"/>
        <v>-7.2068825728570786E-4</v>
      </c>
      <c r="M183" s="4">
        <f t="shared" si="21"/>
        <v>-8.0192461908580592E-4</v>
      </c>
      <c r="N183" s="4">
        <f t="shared" si="21"/>
        <v>-1.3771186440677966E-3</v>
      </c>
      <c r="O183" s="4">
        <f t="shared" si="21"/>
        <v>-1.430704155262503E-3</v>
      </c>
      <c r="P183" s="4">
        <f t="shared" si="21"/>
        <v>-1.8053257108469989E-3</v>
      </c>
      <c r="Q183" s="4">
        <f t="shared" si="21"/>
        <v>-1.0625535561268209E-2</v>
      </c>
      <c r="R183" s="4">
        <f t="shared" si="21"/>
        <v>-4.8399106478034257E-3</v>
      </c>
      <c r="S183" s="4">
        <f t="shared" si="21"/>
        <v>-3.8614423622941509E-3</v>
      </c>
      <c r="T183" s="4">
        <f t="shared" si="21"/>
        <v>-8.5091899251191275E-3</v>
      </c>
      <c r="U183" s="4">
        <f t="shared" si="21"/>
        <v>0.64575242176688541</v>
      </c>
      <c r="V183" s="4">
        <f t="shared" si="21"/>
        <v>-6.4239828693790149E-3</v>
      </c>
      <c r="W183" s="4">
        <f t="shared" si="21"/>
        <v>-1.1428133149256021E-2</v>
      </c>
      <c r="X183" s="4">
        <f t="shared" si="21"/>
        <v>-8.2855460828990684E-4</v>
      </c>
      <c r="Y183" s="4">
        <f t="shared" si="21"/>
        <v>-9.8011761411369346E-4</v>
      </c>
      <c r="Z183" s="4">
        <f t="shared" si="21"/>
        <v>-1.0509608785175017E-3</v>
      </c>
      <c r="AA183" s="4">
        <f t="shared" si="21"/>
        <v>-1.2967378031051928E-2</v>
      </c>
      <c r="AB183" s="4">
        <f t="shared" si="21"/>
        <v>-1.9348588783578573E-2</v>
      </c>
      <c r="AC183" s="4">
        <f t="shared" si="21"/>
        <v>-3.0196275792652239E-3</v>
      </c>
      <c r="AD183" s="4">
        <f t="shared" si="21"/>
        <v>-9.780654440848616E-3</v>
      </c>
      <c r="AE183" s="4">
        <f t="shared" si="21"/>
        <v>-7.6814941259162571E-3</v>
      </c>
      <c r="AF183" s="4">
        <f t="shared" si="21"/>
        <v>-3.0577576443941112E-2</v>
      </c>
      <c r="AG183" s="4">
        <f t="shared" si="21"/>
        <v>-3.9332333636520072E-4</v>
      </c>
      <c r="AH183" s="4">
        <f t="shared" si="21"/>
        <v>-1.6837851490149858E-3</v>
      </c>
      <c r="AI183" s="4">
        <f t="shared" si="21"/>
        <v>-9.8374679213002574E-3</v>
      </c>
      <c r="AJ183" s="4">
        <f t="shared" si="21"/>
        <v>-6.584241714829175E-4</v>
      </c>
      <c r="AK183" s="4">
        <f t="shared" si="21"/>
        <v>-4.3165267276550122E-4</v>
      </c>
      <c r="AL183" s="4">
        <f t="shared" si="21"/>
        <v>-2.5054702767709499E-4</v>
      </c>
      <c r="AM183" s="4">
        <f t="shared" si="21"/>
        <v>-1.0330578512396695E-3</v>
      </c>
      <c r="AN183" s="4">
        <f t="shared" si="21"/>
        <v>-2.5872612663467871E-3</v>
      </c>
      <c r="AO183" s="4">
        <f t="shared" si="21"/>
        <v>-2.261466663925495E-3</v>
      </c>
      <c r="AP183" s="4">
        <f t="shared" si="21"/>
        <v>-6.9062877687612353E-4</v>
      </c>
      <c r="AQ183" s="4">
        <f t="shared" si="21"/>
        <v>-1.0771174679453984E-3</v>
      </c>
      <c r="AR183" s="4">
        <f t="shared" si="21"/>
        <v>-7.7414360363847496E-4</v>
      </c>
      <c r="AS183" s="4">
        <f t="shared" si="21"/>
        <v>-8.0128205128205125E-4</v>
      </c>
      <c r="AT183" s="12">
        <f t="shared" si="21"/>
        <v>0</v>
      </c>
    </row>
    <row r="184" spans="1:46" x14ac:dyDescent="0.25">
      <c r="A184" s="18" t="s">
        <v>66</v>
      </c>
      <c r="B184" s="22">
        <f t="shared" si="21"/>
        <v>-2.8664109191146612E-5</v>
      </c>
      <c r="C184" s="4">
        <f t="shared" si="21"/>
        <v>-1.9522353094292965E-3</v>
      </c>
      <c r="D184" s="4">
        <f t="shared" si="21"/>
        <v>0</v>
      </c>
      <c r="E184" s="4">
        <f t="shared" si="21"/>
        <v>-5.6620332361350962E-5</v>
      </c>
      <c r="F184" s="4">
        <f t="shared" si="21"/>
        <v>-1.2289541600098315E-4</v>
      </c>
      <c r="G184" s="4">
        <f t="shared" si="21"/>
        <v>-2.1182850364345027E-4</v>
      </c>
      <c r="H184" s="4">
        <f t="shared" si="21"/>
        <v>-1.6068903458028025E-4</v>
      </c>
      <c r="I184" s="4">
        <f t="shared" si="21"/>
        <v>-4.0168708576019286E-4</v>
      </c>
      <c r="J184" s="4">
        <f t="shared" si="21"/>
        <v>-9.5374344301382935E-5</v>
      </c>
      <c r="K184" s="4">
        <f t="shared" si="21"/>
        <v>0</v>
      </c>
      <c r="L184" s="4">
        <f t="shared" si="21"/>
        <v>-9.0086032160713482E-5</v>
      </c>
      <c r="M184" s="4">
        <f t="shared" si="21"/>
        <v>-1.0024057738572574E-4</v>
      </c>
      <c r="N184" s="4">
        <f t="shared" si="21"/>
        <v>-1.0593220338983052E-4</v>
      </c>
      <c r="O184" s="4">
        <f t="shared" si="21"/>
        <v>-1.5551132122418513E-4</v>
      </c>
      <c r="P184" s="4">
        <f t="shared" si="21"/>
        <v>-2.0059174564966654E-4</v>
      </c>
      <c r="Q184" s="4">
        <f t="shared" si="21"/>
        <v>-5.1413881748071976E-4</v>
      </c>
      <c r="R184" s="4">
        <f t="shared" si="21"/>
        <v>-8.6870191114420451E-4</v>
      </c>
      <c r="S184" s="4">
        <f t="shared" si="21"/>
        <v>-7.9500283929585455E-4</v>
      </c>
      <c r="T184" s="4">
        <f t="shared" si="21"/>
        <v>-6.8073519400953036E-4</v>
      </c>
      <c r="U184" s="4">
        <f t="shared" si="21"/>
        <v>-4.2408821034775233E-4</v>
      </c>
      <c r="V184" s="4">
        <f t="shared" si="21"/>
        <v>0.87408993576017124</v>
      </c>
      <c r="W184" s="4">
        <f t="shared" si="21"/>
        <v>-5.4456204939407884E-3</v>
      </c>
      <c r="X184" s="4">
        <f t="shared" si="21"/>
        <v>-1.0902034319604038E-4</v>
      </c>
      <c r="Y184" s="4">
        <f t="shared" si="21"/>
        <v>-1.4001680201624196E-4</v>
      </c>
      <c r="Z184" s="4">
        <f t="shared" si="21"/>
        <v>-2.2878059940517045E-4</v>
      </c>
      <c r="AA184" s="4">
        <f t="shared" si="21"/>
        <v>-1.6863406408094434E-3</v>
      </c>
      <c r="AB184" s="4">
        <f t="shared" si="21"/>
        <v>-1.7280201078703459E-3</v>
      </c>
      <c r="AC184" s="4">
        <f t="shared" si="21"/>
        <v>-3.0196275792652239E-3</v>
      </c>
      <c r="AD184" s="4">
        <f t="shared" si="21"/>
        <v>-1.1075152822725639E-2</v>
      </c>
      <c r="AE184" s="4">
        <f t="shared" si="21"/>
        <v>-7.0288181544331761E-4</v>
      </c>
      <c r="AF184" s="4">
        <f t="shared" si="21"/>
        <v>0</v>
      </c>
      <c r="AG184" s="4">
        <f t="shared" si="21"/>
        <v>-4.916541704565009E-5</v>
      </c>
      <c r="AH184" s="4">
        <f t="shared" si="21"/>
        <v>-1.6837851490149859E-4</v>
      </c>
      <c r="AI184" s="4">
        <f t="shared" si="21"/>
        <v>-7.128599942971201E-5</v>
      </c>
      <c r="AJ184" s="4">
        <f t="shared" si="21"/>
        <v>0</v>
      </c>
      <c r="AK184" s="4">
        <f t="shared" si="21"/>
        <v>-1.3924279766629072E-5</v>
      </c>
      <c r="AL184" s="4">
        <f t="shared" si="21"/>
        <v>-1.6703135178473002E-5</v>
      </c>
      <c r="AM184" s="4">
        <f t="shared" si="21"/>
        <v>-5.1652892561983477E-5</v>
      </c>
      <c r="AN184" s="4">
        <f t="shared" si="21"/>
        <v>-9.4082227867155888E-5</v>
      </c>
      <c r="AO184" s="4">
        <f t="shared" si="21"/>
        <v>-5.0917264584746753E-3</v>
      </c>
      <c r="AP184" s="4">
        <f t="shared" si="21"/>
        <v>-6.0937833253775599E-5</v>
      </c>
      <c r="AQ184" s="4">
        <f t="shared" si="21"/>
        <v>-8.2855189841953727E-5</v>
      </c>
      <c r="AR184" s="4">
        <f t="shared" si="21"/>
        <v>0</v>
      </c>
      <c r="AS184" s="4">
        <f t="shared" si="21"/>
        <v>-1.3354700854700856E-4</v>
      </c>
      <c r="AT184" s="12">
        <f t="shared" si="21"/>
        <v>0</v>
      </c>
    </row>
    <row r="185" spans="1:46" x14ac:dyDescent="0.25">
      <c r="A185" s="18" t="s">
        <v>67</v>
      </c>
      <c r="B185" s="22">
        <f t="shared" si="21"/>
        <v>-1.7915068244466633E-3</v>
      </c>
      <c r="C185" s="4">
        <f t="shared" si="21"/>
        <v>-4.3599921910587626E-3</v>
      </c>
      <c r="D185" s="4">
        <f t="shared" si="21"/>
        <v>0</v>
      </c>
      <c r="E185" s="4">
        <f t="shared" si="21"/>
        <v>-2.2081929620926875E-3</v>
      </c>
      <c r="F185" s="4">
        <f t="shared" si="21"/>
        <v>-3.072385400024579E-3</v>
      </c>
      <c r="G185" s="4">
        <f t="shared" si="21"/>
        <v>-1.383946223803875E-3</v>
      </c>
      <c r="H185" s="4">
        <f t="shared" si="21"/>
        <v>-5.2545314307751645E-3</v>
      </c>
      <c r="I185" s="4">
        <f t="shared" si="21"/>
        <v>-1.3255673830086363E-2</v>
      </c>
      <c r="J185" s="4">
        <f t="shared" si="21"/>
        <v>-3.3381020505484026E-3</v>
      </c>
      <c r="K185" s="4">
        <f t="shared" si="21"/>
        <v>0</v>
      </c>
      <c r="L185" s="4">
        <f t="shared" si="21"/>
        <v>-2.0569644010029575E-3</v>
      </c>
      <c r="M185" s="4">
        <f t="shared" si="21"/>
        <v>-1.8544506816359262E-3</v>
      </c>
      <c r="N185" s="4">
        <f t="shared" si="21"/>
        <v>-2.7542372881355932E-3</v>
      </c>
      <c r="O185" s="4">
        <f t="shared" si="21"/>
        <v>-3.2968400099527245E-3</v>
      </c>
      <c r="P185" s="4">
        <f t="shared" si="21"/>
        <v>-3.0088761847449977E-3</v>
      </c>
      <c r="Q185" s="4">
        <f t="shared" si="21"/>
        <v>-3.941730934018851E-3</v>
      </c>
      <c r="R185" s="4">
        <f t="shared" si="21"/>
        <v>-3.971208736659221E-3</v>
      </c>
      <c r="S185" s="4">
        <f t="shared" si="21"/>
        <v>-4.0318001135718337E-3</v>
      </c>
      <c r="T185" s="4">
        <f t="shared" si="21"/>
        <v>-6.4669843430905372E-3</v>
      </c>
      <c r="U185" s="4">
        <f t="shared" si="21"/>
        <v>-1.785634569885273E-3</v>
      </c>
      <c r="V185" s="4">
        <f t="shared" si="21"/>
        <v>-6.6381156316916486E-3</v>
      </c>
      <c r="W185" s="4">
        <f t="shared" si="21"/>
        <v>0.98420003067955208</v>
      </c>
      <c r="X185" s="4">
        <f t="shared" si="21"/>
        <v>-2.0931905893639751E-3</v>
      </c>
      <c r="Y185" s="4">
        <f t="shared" si="21"/>
        <v>-2.2402688322598714E-3</v>
      </c>
      <c r="Z185" s="4">
        <f t="shared" si="21"/>
        <v>-2.6667238618165176E-3</v>
      </c>
      <c r="AA185" s="4">
        <f t="shared" si="21"/>
        <v>-1.6281909635401522E-3</v>
      </c>
      <c r="AB185" s="4">
        <f t="shared" si="21"/>
        <v>-3.0109441273498453E-3</v>
      </c>
      <c r="AC185" s="4">
        <f t="shared" si="21"/>
        <v>-2.8938097634625061E-3</v>
      </c>
      <c r="AD185" s="4">
        <f t="shared" si="21"/>
        <v>-7.982740021574973E-3</v>
      </c>
      <c r="AE185" s="4">
        <f t="shared" si="21"/>
        <v>-2.1588512902901897E-3</v>
      </c>
      <c r="AF185" s="4">
        <f t="shared" si="21"/>
        <v>-4.6715741789354476E-3</v>
      </c>
      <c r="AG185" s="4">
        <f t="shared" si="21"/>
        <v>-2.2370264755770791E-3</v>
      </c>
      <c r="AH185" s="4">
        <f t="shared" si="21"/>
        <v>-5.7248695066509517E-3</v>
      </c>
      <c r="AI185" s="4">
        <f t="shared" si="21"/>
        <v>-3.9207299686341603E-3</v>
      </c>
      <c r="AJ185" s="4">
        <f t="shared" si="21"/>
        <v>-1.0242153778623161E-3</v>
      </c>
      <c r="AK185" s="4">
        <f t="shared" si="21"/>
        <v>-3.202584346324686E-4</v>
      </c>
      <c r="AL185" s="4">
        <f t="shared" si="21"/>
        <v>-3.1735956839098697E-4</v>
      </c>
      <c r="AM185" s="4">
        <f t="shared" si="21"/>
        <v>-1.4721074380165289E-3</v>
      </c>
      <c r="AN185" s="4">
        <f t="shared" si="21"/>
        <v>-5.0333991908928398E-3</v>
      </c>
      <c r="AO185" s="4">
        <f t="shared" si="21"/>
        <v>-8.4291030200859369E-4</v>
      </c>
      <c r="AP185" s="4">
        <f t="shared" si="21"/>
        <v>-1.0867246930256649E-3</v>
      </c>
      <c r="AQ185" s="4">
        <f t="shared" si="21"/>
        <v>-1.2014002527083291E-3</v>
      </c>
      <c r="AR185" s="4">
        <f t="shared" si="21"/>
        <v>-5.6125411263789424E-3</v>
      </c>
      <c r="AS185" s="4">
        <f t="shared" si="21"/>
        <v>-2.9380341880341884E-3</v>
      </c>
      <c r="AT185" s="12">
        <f t="shared" si="21"/>
        <v>0</v>
      </c>
    </row>
    <row r="186" spans="1:46" x14ac:dyDescent="0.25">
      <c r="A186" s="18" t="s">
        <v>68</v>
      </c>
      <c r="B186" s="22">
        <f t="shared" si="21"/>
        <v>-1.1675847143860388E-2</v>
      </c>
      <c r="C186" s="4">
        <f t="shared" si="21"/>
        <v>-2.9283529641439448E-3</v>
      </c>
      <c r="D186" s="4">
        <f t="shared" si="21"/>
        <v>-3.6231884057971015E-3</v>
      </c>
      <c r="E186" s="4">
        <f t="shared" si="21"/>
        <v>-1.3815361096169633E-2</v>
      </c>
      <c r="F186" s="4">
        <f t="shared" si="21"/>
        <v>-1.0200319528081602E-2</v>
      </c>
      <c r="G186" s="4">
        <f t="shared" si="21"/>
        <v>-8.1907021408800778E-3</v>
      </c>
      <c r="H186" s="4">
        <f t="shared" si="21"/>
        <v>-1.2967605090628616E-2</v>
      </c>
      <c r="I186" s="4">
        <f t="shared" si="21"/>
        <v>-1.0042177144004821E-2</v>
      </c>
      <c r="J186" s="4">
        <f t="shared" si="21"/>
        <v>-1.1063423938960419E-2</v>
      </c>
      <c r="K186" s="4">
        <f t="shared" si="21"/>
        <v>-1.1764705882352941E-2</v>
      </c>
      <c r="L186" s="4">
        <f t="shared" si="21"/>
        <v>-1.5209525096467126E-2</v>
      </c>
      <c r="M186" s="4">
        <f t="shared" si="21"/>
        <v>-9.5729751403368091E-3</v>
      </c>
      <c r="N186" s="4">
        <f t="shared" si="21"/>
        <v>-3.8453389830508472E-2</v>
      </c>
      <c r="O186" s="4">
        <f t="shared" si="21"/>
        <v>-5.1878576760388165E-2</v>
      </c>
      <c r="P186" s="4">
        <f t="shared" si="21"/>
        <v>-2.0159470437791486E-2</v>
      </c>
      <c r="Q186" s="4">
        <f t="shared" si="21"/>
        <v>-9.5544130248500433E-3</v>
      </c>
      <c r="R186" s="4">
        <f t="shared" si="21"/>
        <v>-1.9607843137254905E-2</v>
      </c>
      <c r="S186" s="4">
        <f t="shared" si="21"/>
        <v>-9.9659284497444645E-3</v>
      </c>
      <c r="T186" s="4">
        <f t="shared" si="21"/>
        <v>-9.1899251191286599E-3</v>
      </c>
      <c r="U186" s="4">
        <f t="shared" si="21"/>
        <v>-1.7633141377617071E-2</v>
      </c>
      <c r="V186" s="4">
        <f t="shared" si="21"/>
        <v>-4.2826552462526769E-3</v>
      </c>
      <c r="W186" s="4">
        <f t="shared" si="21"/>
        <v>-9.8174566651326907E-3</v>
      </c>
      <c r="X186" s="4">
        <f t="shared" si="21"/>
        <v>0.97625536925190237</v>
      </c>
      <c r="Y186" s="4">
        <f t="shared" si="21"/>
        <v>-9.2411089330719683E-3</v>
      </c>
      <c r="Z186" s="4">
        <f t="shared" si="21"/>
        <v>-5.9768931594600767E-3</v>
      </c>
      <c r="AA186" s="4">
        <f t="shared" si="21"/>
        <v>-1.3796010932139327E-2</v>
      </c>
      <c r="AB186" s="4">
        <f t="shared" si="21"/>
        <v>-1.1493951929622452E-2</v>
      </c>
      <c r="AC186" s="4">
        <f t="shared" si="21"/>
        <v>-3.9003522898842478E-3</v>
      </c>
      <c r="AD186" s="4">
        <f t="shared" si="21"/>
        <v>-8.917655519597268E-3</v>
      </c>
      <c r="AE186" s="4">
        <f t="shared" si="21"/>
        <v>-1.6367105131037254E-2</v>
      </c>
      <c r="AF186" s="4">
        <f t="shared" si="21"/>
        <v>-1.4722536806342017E-2</v>
      </c>
      <c r="AG186" s="4">
        <f t="shared" si="21"/>
        <v>-2.197694141940559E-2</v>
      </c>
      <c r="AH186" s="4">
        <f t="shared" si="21"/>
        <v>-3.6033002188920693E-2</v>
      </c>
      <c r="AI186" s="4">
        <f t="shared" si="21"/>
        <v>-3.3254918733960651E-2</v>
      </c>
      <c r="AJ186" s="4">
        <f t="shared" si="21"/>
        <v>-1.6094813080693539E-3</v>
      </c>
      <c r="AK186" s="4">
        <f t="shared" si="21"/>
        <v>-5.7089547043179195E-3</v>
      </c>
      <c r="AL186" s="4">
        <f t="shared" si="21"/>
        <v>-1.3028445439208941E-3</v>
      </c>
      <c r="AM186" s="4">
        <f t="shared" si="21"/>
        <v>-1.4462809917355371E-3</v>
      </c>
      <c r="AN186" s="4">
        <f t="shared" si="21"/>
        <v>-1.59939787374165E-3</v>
      </c>
      <c r="AO186" s="4">
        <f t="shared" si="21"/>
        <v>-2.1285198358038146E-2</v>
      </c>
      <c r="AP186" s="4">
        <f t="shared" si="21"/>
        <v>-1.3843044454149359E-2</v>
      </c>
      <c r="AQ186" s="4">
        <f t="shared" si="21"/>
        <v>-1.8290283157611286E-2</v>
      </c>
      <c r="AR186" s="4">
        <f t="shared" si="21"/>
        <v>-2.5159667118250434E-2</v>
      </c>
      <c r="AS186" s="4">
        <f t="shared" si="21"/>
        <v>-1.5758547008547012E-2</v>
      </c>
      <c r="AT186" s="12">
        <f t="shared" si="21"/>
        <v>0</v>
      </c>
    </row>
    <row r="187" spans="1:46" x14ac:dyDescent="0.25">
      <c r="A187" s="18" t="s">
        <v>69</v>
      </c>
      <c r="B187" s="22">
        <f t="shared" si="21"/>
        <v>-2.0877026194218453E-3</v>
      </c>
      <c r="C187" s="4">
        <f t="shared" si="21"/>
        <v>-7.1581961345740881E-4</v>
      </c>
      <c r="D187" s="4">
        <f t="shared" si="21"/>
        <v>0</v>
      </c>
      <c r="E187" s="4">
        <f t="shared" si="21"/>
        <v>-2.4346742915380909E-3</v>
      </c>
      <c r="F187" s="4">
        <f t="shared" si="21"/>
        <v>-2.4579083200196631E-4</v>
      </c>
      <c r="G187" s="4">
        <f t="shared" si="21"/>
        <v>-1.4592630250993242E-3</v>
      </c>
      <c r="H187" s="4">
        <f t="shared" si="21"/>
        <v>-2.0568196426275871E-3</v>
      </c>
      <c r="I187" s="4">
        <f t="shared" si="21"/>
        <v>-1.4059048001606748E-3</v>
      </c>
      <c r="J187" s="4">
        <f t="shared" si="21"/>
        <v>-1.4306151645207439E-3</v>
      </c>
      <c r="K187" s="4">
        <f t="shared" si="21"/>
        <v>0</v>
      </c>
      <c r="L187" s="4">
        <f t="shared" si="21"/>
        <v>-2.4923802231130729E-3</v>
      </c>
      <c r="M187" s="4">
        <f t="shared" si="21"/>
        <v>-2.2554129911788292E-3</v>
      </c>
      <c r="N187" s="4">
        <f t="shared" si="21"/>
        <v>-4.9788135593220343E-3</v>
      </c>
      <c r="O187" s="4">
        <f t="shared" si="21"/>
        <v>-6.7802936053744716E-3</v>
      </c>
      <c r="P187" s="4">
        <f t="shared" si="21"/>
        <v>-3.9115390401684973E-3</v>
      </c>
      <c r="Q187" s="4">
        <f t="shared" si="21"/>
        <v>-1.7137960582690661E-3</v>
      </c>
      <c r="R187" s="4">
        <f t="shared" si="21"/>
        <v>-2.7302060064532145E-3</v>
      </c>
      <c r="S187" s="4">
        <f t="shared" si="21"/>
        <v>-1.3344690516751846E-3</v>
      </c>
      <c r="T187" s="4">
        <f t="shared" si="21"/>
        <v>-1.7018379850238256E-3</v>
      </c>
      <c r="U187" s="4">
        <f t="shared" si="21"/>
        <v>-2.343645372974421E-3</v>
      </c>
      <c r="V187" s="4">
        <f t="shared" si="21"/>
        <v>-8.565310492505354E-4</v>
      </c>
      <c r="W187" s="4">
        <f t="shared" si="21"/>
        <v>-6.9028992176714229E-4</v>
      </c>
      <c r="X187" s="4">
        <f t="shared" si="21"/>
        <v>-3.0961777467675465E-3</v>
      </c>
      <c r="Y187" s="4">
        <f t="shared" si="21"/>
        <v>0.9911789414729768</v>
      </c>
      <c r="Z187" s="4">
        <f t="shared" si="21"/>
        <v>-1.3941317776252572E-3</v>
      </c>
      <c r="AA187" s="4">
        <f t="shared" si="21"/>
        <v>-2.4568238646275509E-3</v>
      </c>
      <c r="AB187" s="4">
        <f t="shared" si="21"/>
        <v>-1.6494737393307848E-3</v>
      </c>
      <c r="AC187" s="4">
        <f t="shared" si="21"/>
        <v>-2.013085052843483E-3</v>
      </c>
      <c r="AD187" s="4">
        <f t="shared" si="21"/>
        <v>-1.7259978425026969E-3</v>
      </c>
      <c r="AE187" s="4">
        <f t="shared" si="21"/>
        <v>-2.9119389496937444E-3</v>
      </c>
      <c r="AF187" s="4">
        <f t="shared" si="21"/>
        <v>-5.6625141562853913E-3</v>
      </c>
      <c r="AG187" s="4">
        <f t="shared" si="21"/>
        <v>-3.8840679466063573E-3</v>
      </c>
      <c r="AH187" s="4">
        <f t="shared" si="21"/>
        <v>-3.9568951001852171E-3</v>
      </c>
      <c r="AI187" s="4">
        <f t="shared" si="21"/>
        <v>-5.0969489592244087E-3</v>
      </c>
      <c r="AJ187" s="4">
        <f t="shared" si="21"/>
        <v>-2.1947472382763915E-4</v>
      </c>
      <c r="AK187" s="4">
        <f t="shared" si="21"/>
        <v>-1.0025481431972932E-3</v>
      </c>
      <c r="AL187" s="4">
        <f t="shared" si="21"/>
        <v>-2.6725016285556802E-4</v>
      </c>
      <c r="AM187" s="4">
        <f t="shared" si="21"/>
        <v>-2.3243801652892562E-4</v>
      </c>
      <c r="AN187" s="4">
        <f t="shared" si="21"/>
        <v>-3.2928779753504559E-4</v>
      </c>
      <c r="AO187" s="4">
        <f t="shared" si="21"/>
        <v>-4.1117575707736278E-3</v>
      </c>
      <c r="AP187" s="4">
        <f t="shared" si="21"/>
        <v>-2.4375133301510242E-3</v>
      </c>
      <c r="AQ187" s="4">
        <f t="shared" si="21"/>
        <v>-3.2520662012966838E-3</v>
      </c>
      <c r="AR187" s="4">
        <f t="shared" si="21"/>
        <v>-4.6448616218308491E-3</v>
      </c>
      <c r="AS187" s="4">
        <f t="shared" si="21"/>
        <v>-3.6057692307692314E-3</v>
      </c>
      <c r="AT187" s="12">
        <f t="shared" si="21"/>
        <v>0</v>
      </c>
    </row>
    <row r="188" spans="1:46" x14ac:dyDescent="0.25">
      <c r="A188" s="18" t="s">
        <v>70</v>
      </c>
      <c r="B188" s="22">
        <f t="shared" si="21"/>
        <v>-2.2979060868235871E-3</v>
      </c>
      <c r="C188" s="4">
        <f t="shared" si="21"/>
        <v>-6.5074510314309887E-4</v>
      </c>
      <c r="D188" s="4">
        <f t="shared" si="21"/>
        <v>0</v>
      </c>
      <c r="E188" s="4">
        <f t="shared" si="21"/>
        <v>-4.2465249271013217E-3</v>
      </c>
      <c r="F188" s="4">
        <f t="shared" si="21"/>
        <v>-8.1110974560648884E-3</v>
      </c>
      <c r="G188" s="4">
        <f t="shared" si="21"/>
        <v>-1.256849121617805E-3</v>
      </c>
      <c r="H188" s="4">
        <f t="shared" si="21"/>
        <v>-1.7515104769250547E-3</v>
      </c>
      <c r="I188" s="4">
        <f t="shared" si="21"/>
        <v>-3.012653143201446E-3</v>
      </c>
      <c r="J188" s="4">
        <f t="shared" si="21"/>
        <v>-1.0491177873152124E-3</v>
      </c>
      <c r="K188" s="4">
        <f t="shared" si="21"/>
        <v>0</v>
      </c>
      <c r="L188" s="4">
        <f t="shared" si="21"/>
        <v>-1.4864195306517724E-3</v>
      </c>
      <c r="M188" s="4">
        <f t="shared" si="21"/>
        <v>-1.6539695268644747E-3</v>
      </c>
      <c r="N188" s="4">
        <f t="shared" si="21"/>
        <v>-1.0593220338983051E-3</v>
      </c>
      <c r="O188" s="4">
        <f t="shared" si="21"/>
        <v>-3.1724309529733764E-3</v>
      </c>
      <c r="P188" s="4">
        <f t="shared" si="21"/>
        <v>-1.103254601073166E-3</v>
      </c>
      <c r="Q188" s="4">
        <f t="shared" si="21"/>
        <v>-9.4258783204798633E-4</v>
      </c>
      <c r="R188" s="4">
        <f t="shared" si="21"/>
        <v>-3.226607098535617E-3</v>
      </c>
      <c r="S188" s="4">
        <f t="shared" si="21"/>
        <v>-2.4985803520726864E-3</v>
      </c>
      <c r="T188" s="4">
        <f t="shared" si="21"/>
        <v>-2.7229407760381214E-3</v>
      </c>
      <c r="U188" s="4">
        <f t="shared" si="21"/>
        <v>-6.9416543904289993E-3</v>
      </c>
      <c r="V188" s="4">
        <f t="shared" si="21"/>
        <v>-4.4967880085653106E-3</v>
      </c>
      <c r="W188" s="4">
        <f t="shared" si="21"/>
        <v>-3.2980518484430127E-3</v>
      </c>
      <c r="X188" s="4">
        <f t="shared" si="21"/>
        <v>-6.9991060331857924E-3</v>
      </c>
      <c r="Y188" s="4">
        <f t="shared" si="21"/>
        <v>-5.4606552786334358E-3</v>
      </c>
      <c r="Z188" s="4">
        <f t="shared" si="21"/>
        <v>0.99869881034088315</v>
      </c>
      <c r="AA188" s="4">
        <f t="shared" si="21"/>
        <v>-4.964528696865732E-3</v>
      </c>
      <c r="AB188" s="4">
        <f t="shared" si="21"/>
        <v>-2.3825731790333557E-3</v>
      </c>
      <c r="AC188" s="4">
        <f t="shared" si="21"/>
        <v>-1.3839959738298946E-3</v>
      </c>
      <c r="AD188" s="4">
        <f t="shared" si="21"/>
        <v>-2.876663070837828E-3</v>
      </c>
      <c r="AE188" s="4">
        <f t="shared" si="21"/>
        <v>-3.865849984938247E-3</v>
      </c>
      <c r="AF188" s="4">
        <f t="shared" ref="AF188:AT188" si="22">AF138-AF82</f>
        <v>-2.1234428086070217E-3</v>
      </c>
      <c r="AG188" s="4">
        <f t="shared" si="22"/>
        <v>-1.0324737579586519E-3</v>
      </c>
      <c r="AH188" s="4">
        <f t="shared" si="22"/>
        <v>-5.051355447044957E-3</v>
      </c>
      <c r="AI188" s="4">
        <f t="shared" si="22"/>
        <v>-2.7801539777587681E-3</v>
      </c>
      <c r="AJ188" s="4">
        <f t="shared" si="22"/>
        <v>-1.316848342965835E-3</v>
      </c>
      <c r="AK188" s="4">
        <f t="shared" si="22"/>
        <v>-5.9735160198838714E-3</v>
      </c>
      <c r="AL188" s="4">
        <f t="shared" si="22"/>
        <v>-2.388548330521639E-3</v>
      </c>
      <c r="AM188" s="4">
        <f t="shared" si="22"/>
        <v>-1.0588842975206611E-3</v>
      </c>
      <c r="AN188" s="4">
        <f t="shared" si="22"/>
        <v>-9.8786339260513683E-4</v>
      </c>
      <c r="AO188" s="4">
        <f t="shared" si="22"/>
        <v>-8.7923082721709407E-3</v>
      </c>
      <c r="AP188" s="4">
        <f t="shared" si="22"/>
        <v>-5.3523730207899571E-3</v>
      </c>
      <c r="AQ188" s="4">
        <f t="shared" si="22"/>
        <v>-5.0541665803591771E-3</v>
      </c>
      <c r="AR188" s="4">
        <f t="shared" si="22"/>
        <v>-3.6771821172827553E-3</v>
      </c>
      <c r="AS188" s="4">
        <f t="shared" si="22"/>
        <v>-2.670940170940171E-3</v>
      </c>
      <c r="AT188" s="12">
        <f t="shared" si="22"/>
        <v>0</v>
      </c>
    </row>
    <row r="189" spans="1:46" x14ac:dyDescent="0.25">
      <c r="A189" s="18" t="s">
        <v>71</v>
      </c>
      <c r="B189" s="22">
        <f t="shared" ref="B189:AT194" si="23">B139-B83</f>
        <v>-3.7841401483845391E-2</v>
      </c>
      <c r="C189" s="4">
        <f t="shared" si="23"/>
        <v>-4.0085898353614889E-2</v>
      </c>
      <c r="D189" s="4">
        <f t="shared" si="23"/>
        <v>-3.6231884057971015E-3</v>
      </c>
      <c r="E189" s="4">
        <f t="shared" si="23"/>
        <v>-1.9930356991195539E-2</v>
      </c>
      <c r="F189" s="4">
        <f t="shared" si="23"/>
        <v>-2.0154848224161234E-2</v>
      </c>
      <c r="G189" s="4">
        <f t="shared" si="23"/>
        <v>-6.793104746841401E-2</v>
      </c>
      <c r="H189" s="4">
        <f t="shared" si="23"/>
        <v>-0.11540686463555729</v>
      </c>
      <c r="I189" s="4">
        <f t="shared" si="23"/>
        <v>-7.4914641494275958E-2</v>
      </c>
      <c r="J189" s="4">
        <f t="shared" si="23"/>
        <v>-7.391511683357177E-2</v>
      </c>
      <c r="K189" s="4">
        <f t="shared" si="23"/>
        <v>-5.2941176470588235E-2</v>
      </c>
      <c r="L189" s="4">
        <f t="shared" si="23"/>
        <v>-4.8901701124573968E-2</v>
      </c>
      <c r="M189" s="4">
        <f t="shared" si="23"/>
        <v>-5.1122694466720124E-2</v>
      </c>
      <c r="N189" s="4">
        <f t="shared" si="23"/>
        <v>-0.13336864406779661</v>
      </c>
      <c r="O189" s="4">
        <f t="shared" si="23"/>
        <v>-5.4988803184871864E-2</v>
      </c>
      <c r="P189" s="4">
        <f t="shared" si="23"/>
        <v>-5.531317386289554E-2</v>
      </c>
      <c r="Q189" s="4">
        <f t="shared" si="23"/>
        <v>-6.8423307626392454E-2</v>
      </c>
      <c r="R189" s="4">
        <f t="shared" si="23"/>
        <v>-0.11975676346487962</v>
      </c>
      <c r="S189" s="4">
        <f t="shared" si="23"/>
        <v>-7.3253833049403749E-2</v>
      </c>
      <c r="T189" s="4">
        <f t="shared" si="23"/>
        <v>-0.10857726344452007</v>
      </c>
      <c r="U189" s="4">
        <f t="shared" si="23"/>
        <v>-0.1113789562965939</v>
      </c>
      <c r="V189" s="4">
        <f t="shared" si="23"/>
        <v>-4.967880085653105E-2</v>
      </c>
      <c r="W189" s="4">
        <f t="shared" si="23"/>
        <v>-6.8415401135143425E-2</v>
      </c>
      <c r="X189" s="4">
        <f t="shared" si="23"/>
        <v>-2.391906329721126E-2</v>
      </c>
      <c r="Y189" s="4">
        <f t="shared" si="23"/>
        <v>-2.1422570708485019E-2</v>
      </c>
      <c r="Z189" s="4">
        <f t="shared" si="23"/>
        <v>-5.2340711507664152E-2</v>
      </c>
      <c r="AA189" s="4">
        <f t="shared" si="23"/>
        <v>0.97049630749549343</v>
      </c>
      <c r="AB189" s="4">
        <f t="shared" si="23"/>
        <v>-6.7890244541027392E-2</v>
      </c>
      <c r="AC189" s="4">
        <f t="shared" si="23"/>
        <v>-5.2466029189733275E-2</v>
      </c>
      <c r="AD189" s="4">
        <f t="shared" si="23"/>
        <v>-0.11175836030204962</v>
      </c>
      <c r="AE189" s="4">
        <f t="shared" si="23"/>
        <v>-2.8265890149613414E-2</v>
      </c>
      <c r="AF189" s="4">
        <f t="shared" si="23"/>
        <v>-2.9020385050962629E-2</v>
      </c>
      <c r="AG189" s="4">
        <f t="shared" si="23"/>
        <v>-3.1515032326261704E-2</v>
      </c>
      <c r="AH189" s="4">
        <f t="shared" si="23"/>
        <v>-5.1439636302407818E-2</v>
      </c>
      <c r="AI189" s="4">
        <f t="shared" si="23"/>
        <v>-2.1528371827773025E-2</v>
      </c>
      <c r="AJ189" s="4">
        <f t="shared" si="23"/>
        <v>-5.7063428195186184E-3</v>
      </c>
      <c r="AK189" s="4">
        <f t="shared" si="23"/>
        <v>-2.5899160365930075E-3</v>
      </c>
      <c r="AL189" s="4">
        <f t="shared" si="23"/>
        <v>-2.5221734119494229E-3</v>
      </c>
      <c r="AM189" s="4">
        <f t="shared" si="23"/>
        <v>-6.9214876033057851E-3</v>
      </c>
      <c r="AN189" s="4">
        <f t="shared" si="23"/>
        <v>-1.2607018534198889E-2</v>
      </c>
      <c r="AO189" s="4">
        <f t="shared" si="23"/>
        <v>-6.5424915880293033E-2</v>
      </c>
      <c r="AP189" s="4">
        <f t="shared" si="23"/>
        <v>-1.2411005372685632E-2</v>
      </c>
      <c r="AQ189" s="4">
        <f t="shared" si="23"/>
        <v>-2.1231642397000643E-2</v>
      </c>
      <c r="AR189" s="4">
        <f t="shared" si="23"/>
        <v>-2.3998451712792721E-2</v>
      </c>
      <c r="AS189" s="4">
        <f t="shared" si="23"/>
        <v>-2.49732905982906E-2</v>
      </c>
      <c r="AT189" s="12">
        <f t="shared" si="23"/>
        <v>0</v>
      </c>
    </row>
    <row r="190" spans="1:46" x14ac:dyDescent="0.25">
      <c r="A190" s="18" t="s">
        <v>72</v>
      </c>
      <c r="B190" s="22">
        <f t="shared" si="23"/>
        <v>-1.0056324974560604E-2</v>
      </c>
      <c r="C190" s="4">
        <f t="shared" si="23"/>
        <v>-9.7611765471464825E-3</v>
      </c>
      <c r="D190" s="4">
        <f t="shared" si="23"/>
        <v>-3.6231884057971015E-3</v>
      </c>
      <c r="E190" s="4">
        <f t="shared" si="23"/>
        <v>-1.4664666081589898E-2</v>
      </c>
      <c r="F190" s="4">
        <f t="shared" si="23"/>
        <v>-1.0200319528081602E-2</v>
      </c>
      <c r="G190" s="4">
        <f t="shared" si="23"/>
        <v>-1.5590577868157939E-2</v>
      </c>
      <c r="H190" s="4">
        <f t="shared" si="23"/>
        <v>-2.1516261730299528E-2</v>
      </c>
      <c r="I190" s="4">
        <f t="shared" si="23"/>
        <v>-2.2896163888330993E-2</v>
      </c>
      <c r="J190" s="4">
        <f t="shared" si="23"/>
        <v>-2.8898426323319029E-2</v>
      </c>
      <c r="K190" s="4">
        <f t="shared" si="23"/>
        <v>-5.2941176470588235E-2</v>
      </c>
      <c r="L190" s="4">
        <f t="shared" si="23"/>
        <v>-3.0163806435145563E-2</v>
      </c>
      <c r="M190" s="4">
        <f t="shared" si="23"/>
        <v>-1.5336808340016038E-2</v>
      </c>
      <c r="N190" s="4">
        <f t="shared" si="23"/>
        <v>-3.0402542372881355E-2</v>
      </c>
      <c r="O190" s="4">
        <f t="shared" si="23"/>
        <v>-2.2020403085344614E-2</v>
      </c>
      <c r="P190" s="4">
        <f t="shared" si="23"/>
        <v>-2.5976631061631814E-2</v>
      </c>
      <c r="Q190" s="4">
        <f t="shared" si="23"/>
        <v>-2.5578406169665811E-2</v>
      </c>
      <c r="R190" s="4">
        <f t="shared" si="23"/>
        <v>-2.5812856788284936E-2</v>
      </c>
      <c r="S190" s="4">
        <f t="shared" si="23"/>
        <v>-2.3026689381033503E-2</v>
      </c>
      <c r="T190" s="4">
        <f t="shared" si="23"/>
        <v>-2.5867937372362149E-2</v>
      </c>
      <c r="U190" s="4">
        <f t="shared" si="23"/>
        <v>-7.5443060577652784E-3</v>
      </c>
      <c r="V190" s="4">
        <f t="shared" si="23"/>
        <v>-1.3490364025695931E-2</v>
      </c>
      <c r="W190" s="4">
        <f t="shared" si="23"/>
        <v>-1.679705476300046E-2</v>
      </c>
      <c r="X190" s="4">
        <f t="shared" si="23"/>
        <v>-2.1106338442753416E-2</v>
      </c>
      <c r="Y190" s="4">
        <f t="shared" si="23"/>
        <v>-1.7082049845981516E-2</v>
      </c>
      <c r="Z190" s="4">
        <f t="shared" si="23"/>
        <v>-1.7980725234500113E-2</v>
      </c>
      <c r="AA190" s="4">
        <f t="shared" si="23"/>
        <v>-1.0830377391405478E-2</v>
      </c>
      <c r="AB190" s="4">
        <f t="shared" si="23"/>
        <v>0.98279834528983612</v>
      </c>
      <c r="AC190" s="4">
        <f t="shared" si="23"/>
        <v>-1.3839959738298943E-2</v>
      </c>
      <c r="AD190" s="4">
        <f t="shared" si="23"/>
        <v>-2.509888529306005E-2</v>
      </c>
      <c r="AE190" s="4">
        <f t="shared" si="23"/>
        <v>-8.9868460688824169E-3</v>
      </c>
      <c r="AF190" s="4">
        <f t="shared" si="23"/>
        <v>-6.2287655719139301E-3</v>
      </c>
      <c r="AG190" s="4">
        <f t="shared" si="23"/>
        <v>-6.2931733818432116E-3</v>
      </c>
      <c r="AH190" s="4">
        <f t="shared" si="23"/>
        <v>-2.6772183869338273E-2</v>
      </c>
      <c r="AI190" s="4">
        <f t="shared" si="23"/>
        <v>-3.7068719703450244E-3</v>
      </c>
      <c r="AJ190" s="4">
        <f t="shared" si="23"/>
        <v>-9.5105713658643644E-4</v>
      </c>
      <c r="AK190" s="4">
        <f t="shared" si="23"/>
        <v>-2.0747176852277316E-3</v>
      </c>
      <c r="AL190" s="4">
        <f t="shared" si="23"/>
        <v>-4.0087524428335198E-4</v>
      </c>
      <c r="AM190" s="4">
        <f t="shared" si="23"/>
        <v>-1.2396694214876032E-3</v>
      </c>
      <c r="AN190" s="4">
        <f t="shared" si="23"/>
        <v>-1.9757267852102737E-3</v>
      </c>
      <c r="AO190" s="4">
        <f t="shared" si="23"/>
        <v>-6.7775470624918625E-3</v>
      </c>
      <c r="AP190" s="4">
        <f t="shared" si="23"/>
        <v>-6.3578472694772546E-3</v>
      </c>
      <c r="AQ190" s="4">
        <f t="shared" si="23"/>
        <v>-6.9184083518031361E-3</v>
      </c>
      <c r="AR190" s="4">
        <f t="shared" si="23"/>
        <v>-1.354751306367331E-2</v>
      </c>
      <c r="AS190" s="4">
        <f t="shared" si="23"/>
        <v>-1.4957264957264958E-2</v>
      </c>
      <c r="AT190" s="12">
        <f t="shared" si="23"/>
        <v>0</v>
      </c>
    </row>
    <row r="191" spans="1:46" x14ac:dyDescent="0.25">
      <c r="A191" s="18" t="s">
        <v>73</v>
      </c>
      <c r="B191" s="22">
        <f t="shared" si="23"/>
        <v>-5.6611615652514564E-3</v>
      </c>
      <c r="C191" s="4">
        <f t="shared" si="23"/>
        <v>-1.4056094227890935E-2</v>
      </c>
      <c r="D191" s="4">
        <f t="shared" si="23"/>
        <v>-1.0869565217391304E-2</v>
      </c>
      <c r="E191" s="4">
        <f t="shared" si="23"/>
        <v>-4.4871613396370635E-2</v>
      </c>
      <c r="F191" s="4">
        <f t="shared" si="23"/>
        <v>-8.6026791200688214E-3</v>
      </c>
      <c r="G191" s="4">
        <f t="shared" si="23"/>
        <v>-4.5472518782127321E-3</v>
      </c>
      <c r="H191" s="4">
        <f t="shared" si="23"/>
        <v>-3.5672965676822213E-3</v>
      </c>
      <c r="I191" s="4">
        <f t="shared" si="23"/>
        <v>-1.2452299658565978E-2</v>
      </c>
      <c r="J191" s="4">
        <f t="shared" si="23"/>
        <v>-8.8698140200286126E-3</v>
      </c>
      <c r="K191" s="4">
        <f t="shared" si="23"/>
        <v>-1.7647058823529412E-2</v>
      </c>
      <c r="L191" s="4">
        <f t="shared" si="23"/>
        <v>-5.6153626713511401E-3</v>
      </c>
      <c r="M191" s="4">
        <f t="shared" si="23"/>
        <v>-3.9595028067361667E-3</v>
      </c>
      <c r="N191" s="4">
        <f t="shared" si="23"/>
        <v>-5.6144067796610169E-3</v>
      </c>
      <c r="O191" s="4">
        <f t="shared" si="23"/>
        <v>-1.1943269470017417E-2</v>
      </c>
      <c r="P191" s="4">
        <f t="shared" si="23"/>
        <v>-1.8554736472594154E-3</v>
      </c>
      <c r="Q191" s="4">
        <f t="shared" si="23"/>
        <v>-5.9554413024850046E-3</v>
      </c>
      <c r="R191" s="4">
        <f t="shared" si="23"/>
        <v>-2.0724745594440309E-2</v>
      </c>
      <c r="S191" s="4">
        <f t="shared" si="23"/>
        <v>-1.2322544009085746E-2</v>
      </c>
      <c r="T191" s="4">
        <f t="shared" si="23"/>
        <v>-7.1477195371000678E-3</v>
      </c>
      <c r="U191" s="4">
        <f t="shared" si="23"/>
        <v>-1.5177893844024821E-3</v>
      </c>
      <c r="V191" s="4">
        <f t="shared" si="23"/>
        <v>-3.2119914346895075E-3</v>
      </c>
      <c r="W191" s="4">
        <f t="shared" si="23"/>
        <v>-5.6757171345298363E-3</v>
      </c>
      <c r="X191" s="4">
        <f t="shared" si="23"/>
        <v>-1.5044807361053573E-3</v>
      </c>
      <c r="Y191" s="4">
        <f t="shared" si="23"/>
        <v>-1.8202184262111453E-3</v>
      </c>
      <c r="Z191" s="4">
        <f t="shared" si="23"/>
        <v>-1.1153054221002057E-3</v>
      </c>
      <c r="AA191" s="4">
        <f t="shared" si="23"/>
        <v>-1.7793801244403093E-2</v>
      </c>
      <c r="AB191" s="4">
        <f t="shared" si="23"/>
        <v>-2.5553751898203903E-2</v>
      </c>
      <c r="AC191" s="4">
        <f t="shared" si="23"/>
        <v>0.77944136889783588</v>
      </c>
      <c r="AD191" s="4">
        <f t="shared" si="23"/>
        <v>-2.322905429701546E-2</v>
      </c>
      <c r="AE191" s="4">
        <f t="shared" si="23"/>
        <v>-4.9502962144793654E-2</v>
      </c>
      <c r="AF191" s="4">
        <f t="shared" si="23"/>
        <v>-5.0962627406568517E-3</v>
      </c>
      <c r="AG191" s="4">
        <f t="shared" si="23"/>
        <v>-6.1456771307062609E-4</v>
      </c>
      <c r="AH191" s="4">
        <f t="shared" si="23"/>
        <v>-2.9550429365213002E-2</v>
      </c>
      <c r="AI191" s="4">
        <f t="shared" si="23"/>
        <v>-1.9247219846022243E-3</v>
      </c>
      <c r="AJ191" s="4">
        <f t="shared" si="23"/>
        <v>-3.6579120637939862E-4</v>
      </c>
      <c r="AK191" s="4">
        <f t="shared" si="23"/>
        <v>-3.341827143990977E-3</v>
      </c>
      <c r="AL191" s="4">
        <f t="shared" si="23"/>
        <v>-1.00218811070838E-4</v>
      </c>
      <c r="AM191" s="4">
        <f t="shared" si="23"/>
        <v>-3.8739669421487604E-4</v>
      </c>
      <c r="AN191" s="4">
        <f t="shared" si="23"/>
        <v>-1.0819456204722926E-3</v>
      </c>
      <c r="AO191" s="4">
        <f t="shared" si="23"/>
        <v>-5.6262549426752467E-3</v>
      </c>
      <c r="AP191" s="4">
        <f t="shared" si="23"/>
        <v>-4.7937762159636814E-3</v>
      </c>
      <c r="AQ191" s="4">
        <f t="shared" si="23"/>
        <v>-5.5098701244899236E-3</v>
      </c>
      <c r="AR191" s="4">
        <f t="shared" si="23"/>
        <v>-1.935359009096187E-2</v>
      </c>
      <c r="AS191" s="4">
        <f t="shared" si="23"/>
        <v>-1.7227564102564104E-2</v>
      </c>
      <c r="AT191" s="12">
        <f t="shared" si="23"/>
        <v>0</v>
      </c>
    </row>
    <row r="192" spans="1:46" x14ac:dyDescent="0.25">
      <c r="A192" s="18" t="s">
        <v>74</v>
      </c>
      <c r="B192" s="22">
        <f t="shared" si="23"/>
        <v>-1.4809789748759085E-3</v>
      </c>
      <c r="C192" s="4">
        <f t="shared" si="23"/>
        <v>-1.2364156959718878E-3</v>
      </c>
      <c r="D192" s="4">
        <f t="shared" si="23"/>
        <v>0</v>
      </c>
      <c r="E192" s="4">
        <f t="shared" si="23"/>
        <v>-5.5487925714123943E-3</v>
      </c>
      <c r="F192" s="4">
        <f t="shared" si="23"/>
        <v>-1.1060587440088485E-3</v>
      </c>
      <c r="G192" s="4">
        <f t="shared" si="23"/>
        <v>-1.774652130524017E-3</v>
      </c>
      <c r="H192" s="4">
        <f t="shared" si="23"/>
        <v>-1.8639928011312508E-3</v>
      </c>
      <c r="I192" s="4">
        <f t="shared" si="23"/>
        <v>-2.4101225145611569E-3</v>
      </c>
      <c r="J192" s="4">
        <f t="shared" si="23"/>
        <v>-2.4797329518359561E-3</v>
      </c>
      <c r="K192" s="4">
        <f t="shared" si="23"/>
        <v>-5.8823529411764705E-3</v>
      </c>
      <c r="L192" s="4">
        <f t="shared" si="23"/>
        <v>-2.0869930783898624E-3</v>
      </c>
      <c r="M192" s="4">
        <f t="shared" si="23"/>
        <v>-2.2554129911788292E-3</v>
      </c>
      <c r="N192" s="4">
        <f t="shared" si="23"/>
        <v>-2.542372881355932E-3</v>
      </c>
      <c r="O192" s="4">
        <f t="shared" si="23"/>
        <v>-2.3326698183627767E-3</v>
      </c>
      <c r="P192" s="4">
        <f t="shared" si="23"/>
        <v>-1.4041422195476656E-3</v>
      </c>
      <c r="Q192" s="4">
        <f t="shared" si="23"/>
        <v>-2.1422450728363325E-3</v>
      </c>
      <c r="R192" s="4">
        <f t="shared" si="23"/>
        <v>-6.7014147431124355E-3</v>
      </c>
      <c r="S192" s="4">
        <f t="shared" si="23"/>
        <v>-3.1800113571834182E-3</v>
      </c>
      <c r="T192" s="4">
        <f t="shared" si="23"/>
        <v>-2.3825731790333557E-3</v>
      </c>
      <c r="U192" s="4">
        <f t="shared" si="23"/>
        <v>-6.4729253158341145E-4</v>
      </c>
      <c r="V192" s="4">
        <f t="shared" si="23"/>
        <v>-1.2847965738758029E-3</v>
      </c>
      <c r="W192" s="4">
        <f t="shared" si="23"/>
        <v>-2.6077619266758707E-3</v>
      </c>
      <c r="X192" s="4">
        <f t="shared" si="23"/>
        <v>-1.2864400497132765E-3</v>
      </c>
      <c r="Y192" s="4">
        <f t="shared" si="23"/>
        <v>-1.1201344161299357E-3</v>
      </c>
      <c r="Z192" s="4">
        <f t="shared" si="23"/>
        <v>-1.0509608785175017E-3</v>
      </c>
      <c r="AA192" s="4">
        <f t="shared" si="23"/>
        <v>-2.9220212827818807E-3</v>
      </c>
      <c r="AB192" s="4">
        <f t="shared" si="23"/>
        <v>-2.984762004503325E-3</v>
      </c>
      <c r="AC192" s="4">
        <f t="shared" si="23"/>
        <v>-3.6487166582788123E-3</v>
      </c>
      <c r="AD192" s="4">
        <f t="shared" si="23"/>
        <v>0.96893203883495149</v>
      </c>
      <c r="AE192" s="4">
        <f t="shared" si="23"/>
        <v>-6.0749071191886737E-3</v>
      </c>
      <c r="AF192" s="4">
        <f t="shared" si="23"/>
        <v>-2.9728199320498304E-3</v>
      </c>
      <c r="AG192" s="4">
        <f t="shared" si="23"/>
        <v>-6.1456771307062609E-4</v>
      </c>
      <c r="AH192" s="4">
        <f t="shared" si="23"/>
        <v>-1.7511365549755853E-2</v>
      </c>
      <c r="AI192" s="4">
        <f t="shared" si="23"/>
        <v>-1.1049329911605361E-3</v>
      </c>
      <c r="AJ192" s="4">
        <f t="shared" si="23"/>
        <v>-2.9263296510351888E-4</v>
      </c>
      <c r="AK192" s="4">
        <f t="shared" si="23"/>
        <v>-3.7038584179233331E-3</v>
      </c>
      <c r="AL192" s="4">
        <f t="shared" si="23"/>
        <v>-8.3515675892365001E-5</v>
      </c>
      <c r="AM192" s="4">
        <f t="shared" si="23"/>
        <v>-2.5826446280991736E-4</v>
      </c>
      <c r="AN192" s="4">
        <f t="shared" si="23"/>
        <v>-6.5857559507009119E-4</v>
      </c>
      <c r="AO192" s="4">
        <f t="shared" si="23"/>
        <v>-4.9752266606360885E-3</v>
      </c>
      <c r="AP192" s="4">
        <f t="shared" si="23"/>
        <v>-3.6156447730573528E-3</v>
      </c>
      <c r="AQ192" s="4">
        <f t="shared" si="23"/>
        <v>-3.8734801251113365E-3</v>
      </c>
      <c r="AR192" s="4">
        <f t="shared" si="23"/>
        <v>-9.8703309463905545E-3</v>
      </c>
      <c r="AS192" s="4">
        <f t="shared" si="23"/>
        <v>-1.028311965811966E-2</v>
      </c>
      <c r="AT192" s="12">
        <f t="shared" si="23"/>
        <v>0</v>
      </c>
    </row>
    <row r="193" spans="1:46" x14ac:dyDescent="0.25">
      <c r="A193" s="18" t="s">
        <v>75</v>
      </c>
      <c r="B193" s="22">
        <f t="shared" si="23"/>
        <v>-4.2757296210127029E-3</v>
      </c>
      <c r="C193" s="4">
        <f t="shared" si="23"/>
        <v>-3.5790980672870437E-3</v>
      </c>
      <c r="D193" s="4">
        <f t="shared" si="23"/>
        <v>-3.6231884057971015E-3</v>
      </c>
      <c r="E193" s="4">
        <f t="shared" si="23"/>
        <v>-1.1465617303173569E-2</v>
      </c>
      <c r="F193" s="4">
        <f t="shared" si="23"/>
        <v>-3.5639670640285116E-3</v>
      </c>
      <c r="G193" s="4">
        <f t="shared" si="23"/>
        <v>-4.975616185580599E-3</v>
      </c>
      <c r="H193" s="4">
        <f t="shared" si="23"/>
        <v>-4.9652911685306592E-3</v>
      </c>
      <c r="I193" s="4">
        <f t="shared" si="23"/>
        <v>-7.6320546294436631E-3</v>
      </c>
      <c r="J193" s="4">
        <f t="shared" si="23"/>
        <v>-6.6762041010968052E-3</v>
      </c>
      <c r="K193" s="4">
        <f t="shared" si="23"/>
        <v>-1.7647058823529412E-2</v>
      </c>
      <c r="L193" s="4">
        <f t="shared" si="23"/>
        <v>-5.1949611879344776E-3</v>
      </c>
      <c r="M193" s="4">
        <f t="shared" si="23"/>
        <v>-4.0597433841218925E-3</v>
      </c>
      <c r="N193" s="4">
        <f t="shared" si="23"/>
        <v>-7.3093220338983052E-3</v>
      </c>
      <c r="O193" s="4">
        <f t="shared" si="23"/>
        <v>-7.8377705896989312E-3</v>
      </c>
      <c r="P193" s="4">
        <f t="shared" si="23"/>
        <v>-3.7610952309312475E-3</v>
      </c>
      <c r="Q193" s="4">
        <f t="shared" si="23"/>
        <v>-5.0556983718937449E-3</v>
      </c>
      <c r="R193" s="4">
        <f t="shared" si="23"/>
        <v>-1.0548523206751056E-2</v>
      </c>
      <c r="S193" s="4">
        <f t="shared" si="23"/>
        <v>-7.1834185122089727E-3</v>
      </c>
      <c r="T193" s="4">
        <f t="shared" si="23"/>
        <v>-6.1266167460857727E-3</v>
      </c>
      <c r="U193" s="4">
        <f t="shared" si="23"/>
        <v>-1.8525958662559709E-3</v>
      </c>
      <c r="V193" s="4">
        <f t="shared" si="23"/>
        <v>-2.78372591006424E-3</v>
      </c>
      <c r="W193" s="4">
        <f t="shared" si="23"/>
        <v>-5.4456204939407884E-3</v>
      </c>
      <c r="X193" s="4">
        <f t="shared" si="23"/>
        <v>-6.3667880426487578E-3</v>
      </c>
      <c r="Y193" s="4">
        <f t="shared" si="23"/>
        <v>-5.1806216746009522E-3</v>
      </c>
      <c r="Z193" s="4">
        <f t="shared" si="23"/>
        <v>-2.6452756806222832E-3</v>
      </c>
      <c r="AA193" s="4">
        <f t="shared" si="23"/>
        <v>-1.0997557713554691E-2</v>
      </c>
      <c r="AB193" s="4">
        <f t="shared" si="23"/>
        <v>-2.0395873697439389E-2</v>
      </c>
      <c r="AC193" s="4">
        <f t="shared" si="23"/>
        <v>-4.5294413688978359E-2</v>
      </c>
      <c r="AD193" s="4">
        <f t="shared" si="23"/>
        <v>-5.8036677454153182E-2</v>
      </c>
      <c r="AE193" s="4">
        <f t="shared" si="23"/>
        <v>0.96104026508685614</v>
      </c>
      <c r="AF193" s="4">
        <f t="shared" si="23"/>
        <v>-4.8131370328425823E-3</v>
      </c>
      <c r="AG193" s="4">
        <f t="shared" si="23"/>
        <v>-1.0078910494358267E-3</v>
      </c>
      <c r="AH193" s="4">
        <f t="shared" si="23"/>
        <v>-2.2646910254251557E-2</v>
      </c>
      <c r="AI193" s="4">
        <f t="shared" si="23"/>
        <v>-1.7465069860279443E-3</v>
      </c>
      <c r="AJ193" s="4">
        <f t="shared" si="23"/>
        <v>-3.6579120637939862E-4</v>
      </c>
      <c r="AK193" s="4">
        <f t="shared" si="23"/>
        <v>-1.8380049291950374E-3</v>
      </c>
      <c r="AL193" s="4">
        <f t="shared" si="23"/>
        <v>-1.1692194624931099E-4</v>
      </c>
      <c r="AM193" s="4">
        <f t="shared" si="23"/>
        <v>-3.8739669421487604E-4</v>
      </c>
      <c r="AN193" s="4">
        <f t="shared" si="23"/>
        <v>-8.4674005080440302E-4</v>
      </c>
      <c r="AO193" s="4">
        <f t="shared" si="23"/>
        <v>-3.501846864442206E-3</v>
      </c>
      <c r="AP193" s="4">
        <f t="shared" si="23"/>
        <v>-2.0820426361706666E-3</v>
      </c>
      <c r="AQ193" s="4">
        <f t="shared" si="23"/>
        <v>-3.0863558216127763E-3</v>
      </c>
      <c r="AR193" s="4">
        <f t="shared" si="23"/>
        <v>-9.0961873427520806E-3</v>
      </c>
      <c r="AS193" s="4">
        <f t="shared" si="23"/>
        <v>-1.09508547008547E-2</v>
      </c>
      <c r="AT193" s="12">
        <f t="shared" si="23"/>
        <v>0</v>
      </c>
    </row>
    <row r="194" spans="1:46" x14ac:dyDescent="0.25">
      <c r="A194" s="18" t="s">
        <v>76</v>
      </c>
      <c r="B194" s="22">
        <f t="shared" si="23"/>
        <v>-1.0510173370087093E-4</v>
      </c>
      <c r="C194" s="4">
        <f t="shared" si="23"/>
        <v>-2.6029804125723955E-4</v>
      </c>
      <c r="D194" s="4">
        <f t="shared" si="23"/>
        <v>0</v>
      </c>
      <c r="E194" s="4">
        <f t="shared" si="23"/>
        <v>-1.1324066472270192E-4</v>
      </c>
      <c r="F194" s="4">
        <f t="shared" si="23"/>
        <v>-3.6868624800294946E-4</v>
      </c>
      <c r="G194" s="4">
        <f t="shared" si="23"/>
        <v>-1.9770660340055361E-4</v>
      </c>
      <c r="H194" s="4">
        <f t="shared" si="23"/>
        <v>-2.8924026224450445E-4</v>
      </c>
      <c r="I194" s="4">
        <f t="shared" si="23"/>
        <v>-4.0168708576019286E-4</v>
      </c>
      <c r="J194" s="4">
        <f t="shared" si="23"/>
        <v>-5.722460658082975E-4</v>
      </c>
      <c r="K194" s="4">
        <f t="shared" si="23"/>
        <v>0</v>
      </c>
      <c r="L194" s="4">
        <f t="shared" si="23"/>
        <v>-3.4532978994940164E-4</v>
      </c>
      <c r="M194" s="4">
        <f t="shared" si="23"/>
        <v>-6.0144346431435444E-4</v>
      </c>
      <c r="N194" s="4">
        <f t="shared" si="23"/>
        <v>-3.177966101694915E-4</v>
      </c>
      <c r="O194" s="4">
        <f t="shared" si="23"/>
        <v>-2.7992037820353323E-4</v>
      </c>
      <c r="P194" s="4">
        <f t="shared" si="23"/>
        <v>-1.0029587282483327E-4</v>
      </c>
      <c r="Q194" s="4">
        <f t="shared" si="23"/>
        <v>-4.7129391602399316E-4</v>
      </c>
      <c r="R194" s="4">
        <f t="shared" si="23"/>
        <v>-2.4820054604120131E-4</v>
      </c>
      <c r="S194" s="4">
        <f t="shared" si="23"/>
        <v>-3.6910846110164682E-4</v>
      </c>
      <c r="T194" s="4">
        <f t="shared" si="23"/>
        <v>-6.8073519400953036E-4</v>
      </c>
      <c r="U194" s="4">
        <f t="shared" si="23"/>
        <v>-3.1248604972992277E-4</v>
      </c>
      <c r="V194" s="4">
        <f t="shared" si="23"/>
        <v>-6.4239828693790147E-4</v>
      </c>
      <c r="W194" s="4">
        <f t="shared" si="23"/>
        <v>-5.3689216137444394E-4</v>
      </c>
      <c r="X194" s="4">
        <f t="shared" si="23"/>
        <v>-5.8870985325861803E-4</v>
      </c>
      <c r="Y194" s="4">
        <f t="shared" si="23"/>
        <v>-5.6006720806496785E-4</v>
      </c>
      <c r="Z194" s="4">
        <f t="shared" si="23"/>
        <v>-2.3592999313658199E-4</v>
      </c>
      <c r="AA194" s="4">
        <f t="shared" si="23"/>
        <v>-1.8462522532999941E-3</v>
      </c>
      <c r="AB194" s="4">
        <f t="shared" si="23"/>
        <v>-7.592815625490914E-4</v>
      </c>
      <c r="AC194" s="4">
        <f t="shared" si="23"/>
        <v>-6.2908907901358831E-4</v>
      </c>
      <c r="AD194" s="4">
        <f t="shared" si="23"/>
        <v>-8.6299892125134845E-4</v>
      </c>
      <c r="AE194" s="4">
        <f t="shared" si="23"/>
        <v>-1.4057636308866352E-3</v>
      </c>
      <c r="AF194" s="4">
        <f t="shared" ref="AF194:AT194" si="24">AF144-AF88</f>
        <v>0.98825028312570784</v>
      </c>
      <c r="AG194" s="4">
        <f t="shared" si="24"/>
        <v>-2.9499250227390053E-4</v>
      </c>
      <c r="AH194" s="4">
        <f t="shared" si="24"/>
        <v>-1.5154066341134872E-3</v>
      </c>
      <c r="AI194" s="4">
        <f t="shared" si="24"/>
        <v>-2.8157969774736244E-3</v>
      </c>
      <c r="AJ194" s="4">
        <f t="shared" si="24"/>
        <v>-4.389494476552783E-4</v>
      </c>
      <c r="AK194" s="4">
        <f t="shared" si="24"/>
        <v>-1.8519292089616665E-3</v>
      </c>
      <c r="AL194" s="4">
        <f t="shared" si="24"/>
        <v>-2.0043762214167599E-4</v>
      </c>
      <c r="AM194" s="4">
        <f t="shared" si="24"/>
        <v>-4.6487603305785124E-4</v>
      </c>
      <c r="AN194" s="4">
        <f t="shared" si="24"/>
        <v>-6.1153448113651328E-4</v>
      </c>
      <c r="AO194" s="4">
        <f t="shared" si="24"/>
        <v>-3.6457583794192831E-3</v>
      </c>
      <c r="AP194" s="4">
        <f t="shared" si="24"/>
        <v>-1.2086003595332161E-3</v>
      </c>
      <c r="AQ194" s="4">
        <f t="shared" si="24"/>
        <v>-1.6363899993785862E-3</v>
      </c>
      <c r="AR194" s="4">
        <f t="shared" si="24"/>
        <v>-7.7414360363847496E-4</v>
      </c>
      <c r="AS194" s="4">
        <f t="shared" si="24"/>
        <v>-9.3482905982905987E-4</v>
      </c>
      <c r="AT194" s="12">
        <f t="shared" si="24"/>
        <v>0</v>
      </c>
    </row>
    <row r="195" spans="1:46" x14ac:dyDescent="0.25">
      <c r="A195" s="18" t="s">
        <v>77</v>
      </c>
      <c r="B195" s="22">
        <f t="shared" ref="B195:AT200" si="25">B145-B89</f>
        <v>-3.4874666182561713E-4</v>
      </c>
      <c r="C195" s="4">
        <f t="shared" si="25"/>
        <v>-2.8632784538296352E-3</v>
      </c>
      <c r="D195" s="4">
        <f t="shared" si="25"/>
        <v>0</v>
      </c>
      <c r="E195" s="4">
        <f t="shared" si="25"/>
        <v>-7.0775415451688702E-4</v>
      </c>
      <c r="F195" s="4">
        <f t="shared" si="25"/>
        <v>-1.4747449920117978E-3</v>
      </c>
      <c r="G195" s="4">
        <f t="shared" si="25"/>
        <v>-7.4846071287352437E-4</v>
      </c>
      <c r="H195" s="4">
        <f t="shared" si="25"/>
        <v>-1.0766165316878776E-3</v>
      </c>
      <c r="I195" s="4">
        <f t="shared" si="25"/>
        <v>-8.0337417152038571E-4</v>
      </c>
      <c r="J195" s="4">
        <f t="shared" si="25"/>
        <v>-9.5374344301382924E-4</v>
      </c>
      <c r="K195" s="4">
        <f t="shared" si="25"/>
        <v>0</v>
      </c>
      <c r="L195" s="4">
        <f t="shared" si="25"/>
        <v>-1.3362761437172501E-3</v>
      </c>
      <c r="M195" s="4">
        <f t="shared" si="25"/>
        <v>-2.0048115477145148E-3</v>
      </c>
      <c r="N195" s="4">
        <f t="shared" si="25"/>
        <v>-1.3771186440677966E-3</v>
      </c>
      <c r="O195" s="4">
        <f t="shared" si="25"/>
        <v>-1.2440905697934811E-3</v>
      </c>
      <c r="P195" s="4">
        <f t="shared" si="25"/>
        <v>-6.0177523694899952E-4</v>
      </c>
      <c r="Q195" s="4">
        <f t="shared" si="25"/>
        <v>-2.056555269922879E-3</v>
      </c>
      <c r="R195" s="4">
        <f t="shared" si="25"/>
        <v>-1.2410027302060065E-3</v>
      </c>
      <c r="S195" s="4">
        <f t="shared" si="25"/>
        <v>-1.4196479273140261E-3</v>
      </c>
      <c r="T195" s="4">
        <f t="shared" si="25"/>
        <v>-2.3825731790333557E-3</v>
      </c>
      <c r="U195" s="4">
        <f t="shared" si="25"/>
        <v>-1.1829829025489934E-3</v>
      </c>
      <c r="V195" s="4">
        <f t="shared" si="25"/>
        <v>-9.6359743040685224E-3</v>
      </c>
      <c r="W195" s="4">
        <f t="shared" si="25"/>
        <v>-1.2271820831415863E-3</v>
      </c>
      <c r="X195" s="4">
        <f t="shared" si="25"/>
        <v>-4.7968951006257767E-4</v>
      </c>
      <c r="Y195" s="4">
        <f t="shared" si="25"/>
        <v>-5.6006720806496785E-4</v>
      </c>
      <c r="Z195" s="4">
        <f t="shared" si="25"/>
        <v>-3.0742393045069775E-4</v>
      </c>
      <c r="AA195" s="4">
        <f t="shared" si="25"/>
        <v>-8.3590161074606028E-4</v>
      </c>
      <c r="AB195" s="4">
        <f t="shared" si="25"/>
        <v>-9.6873854532125464E-4</v>
      </c>
      <c r="AC195" s="4">
        <f t="shared" si="25"/>
        <v>-1.1323603422244591E-3</v>
      </c>
      <c r="AD195" s="4">
        <f t="shared" si="25"/>
        <v>-4.0273282991729591E-3</v>
      </c>
      <c r="AE195" s="4">
        <f t="shared" si="25"/>
        <v>-1.0543227231649764E-3</v>
      </c>
      <c r="AF195" s="4">
        <f t="shared" si="25"/>
        <v>-9.7678369195923001E-3</v>
      </c>
      <c r="AG195" s="4">
        <f t="shared" si="25"/>
        <v>0.99618968017896214</v>
      </c>
      <c r="AH195" s="4">
        <f t="shared" si="25"/>
        <v>-2.3825559858562047E-2</v>
      </c>
      <c r="AI195" s="4">
        <f t="shared" si="25"/>
        <v>-1.2332477901340178E-2</v>
      </c>
      <c r="AJ195" s="4">
        <f t="shared" si="25"/>
        <v>-2.1215889970005119E-3</v>
      </c>
      <c r="AK195" s="4">
        <f t="shared" si="25"/>
        <v>-7.6305053121127307E-3</v>
      </c>
      <c r="AL195" s="4">
        <f t="shared" si="25"/>
        <v>-5.8460973124655499E-4</v>
      </c>
      <c r="AM195" s="4">
        <f t="shared" si="25"/>
        <v>-2.1177685950413221E-3</v>
      </c>
      <c r="AN195" s="4">
        <f t="shared" si="25"/>
        <v>-3.5280835450183456E-3</v>
      </c>
      <c r="AO195" s="4">
        <f t="shared" si="25"/>
        <v>-1.75297931100649E-2</v>
      </c>
      <c r="AP195" s="4">
        <f t="shared" si="25"/>
        <v>-4.4789307441525069E-3</v>
      </c>
      <c r="AQ195" s="4">
        <f t="shared" si="25"/>
        <v>-4.8677424032147814E-3</v>
      </c>
      <c r="AR195" s="4">
        <f t="shared" si="25"/>
        <v>-5.6125411263789424E-3</v>
      </c>
      <c r="AS195" s="4">
        <f t="shared" si="25"/>
        <v>-8.9476495726495738E-3</v>
      </c>
      <c r="AT195" s="12">
        <f t="shared" si="25"/>
        <v>0</v>
      </c>
    </row>
    <row r="196" spans="1:46" x14ac:dyDescent="0.25">
      <c r="A196" s="18" t="s">
        <v>78</v>
      </c>
      <c r="B196" s="22">
        <f t="shared" si="25"/>
        <v>-6.2105569914151003E-5</v>
      </c>
      <c r="C196" s="4">
        <f t="shared" si="25"/>
        <v>-3.2537255157154944E-4</v>
      </c>
      <c r="D196" s="4">
        <f t="shared" si="25"/>
        <v>0</v>
      </c>
      <c r="E196" s="4">
        <f t="shared" si="25"/>
        <v>-1.415508309033774E-3</v>
      </c>
      <c r="F196" s="4">
        <f t="shared" si="25"/>
        <v>-2.4579083200196631E-4</v>
      </c>
      <c r="G196" s="4">
        <f t="shared" si="25"/>
        <v>-1.8499689318194656E-3</v>
      </c>
      <c r="H196" s="4">
        <f t="shared" si="25"/>
        <v>-3.2619874019796892E-3</v>
      </c>
      <c r="I196" s="4">
        <f t="shared" si="25"/>
        <v>-1.0042177144004821E-3</v>
      </c>
      <c r="J196" s="4">
        <f t="shared" si="25"/>
        <v>-1.8121125417262757E-3</v>
      </c>
      <c r="K196" s="4">
        <f t="shared" si="25"/>
        <v>0</v>
      </c>
      <c r="L196" s="4">
        <f t="shared" si="25"/>
        <v>-1.5765055628124858E-3</v>
      </c>
      <c r="M196" s="4">
        <f t="shared" si="25"/>
        <v>-3.0072173215717722E-3</v>
      </c>
      <c r="N196" s="4">
        <f t="shared" si="25"/>
        <v>-5.5084745762711863E-3</v>
      </c>
      <c r="O196" s="4">
        <f t="shared" si="25"/>
        <v>-6.158248320477731E-3</v>
      </c>
      <c r="P196" s="4">
        <f t="shared" si="25"/>
        <v>-1.5044380923724988E-3</v>
      </c>
      <c r="Q196" s="4">
        <f t="shared" si="25"/>
        <v>-1.4995715509854327E-3</v>
      </c>
      <c r="R196" s="4">
        <f t="shared" si="25"/>
        <v>-2.3579051873914123E-3</v>
      </c>
      <c r="S196" s="4">
        <f t="shared" si="25"/>
        <v>-2.5837592277115273E-3</v>
      </c>
      <c r="T196" s="4">
        <f t="shared" si="25"/>
        <v>-2.0422055820285907E-3</v>
      </c>
      <c r="U196" s="4">
        <f t="shared" si="25"/>
        <v>-8.0353555644837292E-4</v>
      </c>
      <c r="V196" s="4">
        <f t="shared" si="25"/>
        <v>-2.3554603854389722E-3</v>
      </c>
      <c r="W196" s="4">
        <f t="shared" si="25"/>
        <v>-1.1504832029452371E-3</v>
      </c>
      <c r="X196" s="4">
        <f t="shared" si="25"/>
        <v>-4.3608137278416149E-3</v>
      </c>
      <c r="Y196" s="4">
        <f t="shared" si="25"/>
        <v>-4.3405208625035005E-3</v>
      </c>
      <c r="Z196" s="4">
        <f t="shared" si="25"/>
        <v>-5.6480210478151451E-4</v>
      </c>
      <c r="AA196" s="4">
        <f t="shared" si="25"/>
        <v>-1.8317148339826712E-3</v>
      </c>
      <c r="AB196" s="4">
        <f t="shared" si="25"/>
        <v>-5.4982457977692837E-4</v>
      </c>
      <c r="AC196" s="4">
        <f t="shared" si="25"/>
        <v>-5.0327126321087076E-4</v>
      </c>
      <c r="AD196" s="4">
        <f t="shared" si="25"/>
        <v>-1.5821646889608056E-3</v>
      </c>
      <c r="AE196" s="4">
        <f t="shared" si="25"/>
        <v>-7.0288181544331761E-4</v>
      </c>
      <c r="AF196" s="4">
        <f t="shared" si="25"/>
        <v>-8.4937712344280861E-4</v>
      </c>
      <c r="AG196" s="4">
        <f t="shared" si="25"/>
        <v>-2.1141129329629539E-3</v>
      </c>
      <c r="AH196" s="4">
        <f t="shared" si="25"/>
        <v>0.93037548408823034</v>
      </c>
      <c r="AI196" s="4">
        <f t="shared" si="25"/>
        <v>-1.6395779868833759E-3</v>
      </c>
      <c r="AJ196" s="4">
        <f t="shared" si="25"/>
        <v>-1.316848342965835E-3</v>
      </c>
      <c r="AK196" s="4">
        <f t="shared" si="25"/>
        <v>-9.6077530389740602E-4</v>
      </c>
      <c r="AL196" s="4">
        <f t="shared" si="25"/>
        <v>-1.8373448696320301E-4</v>
      </c>
      <c r="AM196" s="4">
        <f t="shared" si="25"/>
        <v>-3.5898760330578513E-3</v>
      </c>
      <c r="AN196" s="4">
        <f t="shared" si="25"/>
        <v>-7.526578229372471E-4</v>
      </c>
      <c r="AO196" s="4">
        <f t="shared" si="25"/>
        <v>-1.4939385840477513E-3</v>
      </c>
      <c r="AP196" s="4">
        <f t="shared" si="25"/>
        <v>-2.9554849128081168E-3</v>
      </c>
      <c r="AQ196" s="4">
        <f t="shared" si="25"/>
        <v>-1.8642417714439588E-3</v>
      </c>
      <c r="AR196" s="4">
        <f t="shared" si="25"/>
        <v>-9.0961873427520806E-3</v>
      </c>
      <c r="AS196" s="4">
        <f t="shared" si="25"/>
        <v>-4.0064102564102569E-3</v>
      </c>
      <c r="AT196" s="12">
        <f t="shared" si="25"/>
        <v>0</v>
      </c>
    </row>
    <row r="197" spans="1:46" x14ac:dyDescent="0.25">
      <c r="A197" s="18" t="s">
        <v>79</v>
      </c>
      <c r="B197" s="22">
        <f t="shared" si="25"/>
        <v>-3.9652017714419485E-4</v>
      </c>
      <c r="C197" s="4">
        <f t="shared" si="25"/>
        <v>-7.1581961345740881E-4</v>
      </c>
      <c r="D197" s="4">
        <f t="shared" si="25"/>
        <v>0</v>
      </c>
      <c r="E197" s="4">
        <f t="shared" si="25"/>
        <v>-3.3972199416810572E-4</v>
      </c>
      <c r="F197" s="4">
        <f t="shared" si="25"/>
        <v>-1.5976404080127811E-3</v>
      </c>
      <c r="G197" s="4">
        <f t="shared" si="25"/>
        <v>-5.8370521003972965E-4</v>
      </c>
      <c r="H197" s="4">
        <f t="shared" si="25"/>
        <v>-1.1408921455199896E-3</v>
      </c>
      <c r="I197" s="4">
        <f t="shared" si="25"/>
        <v>-1.0042177144004821E-3</v>
      </c>
      <c r="J197" s="4">
        <f t="shared" si="25"/>
        <v>-1.239866475917978E-3</v>
      </c>
      <c r="K197" s="4">
        <f t="shared" si="25"/>
        <v>0</v>
      </c>
      <c r="L197" s="4">
        <f t="shared" si="25"/>
        <v>-9.7593201507439604E-4</v>
      </c>
      <c r="M197" s="4">
        <f t="shared" si="25"/>
        <v>-1.553728949478749E-3</v>
      </c>
      <c r="N197" s="4">
        <f t="shared" si="25"/>
        <v>-9.5338983050847462E-4</v>
      </c>
      <c r="O197" s="4">
        <f t="shared" si="25"/>
        <v>-1.0263747200796218E-3</v>
      </c>
      <c r="P197" s="4">
        <f t="shared" si="25"/>
        <v>-2.5073968206208318E-4</v>
      </c>
      <c r="Q197" s="4">
        <f t="shared" si="25"/>
        <v>-1.585261353898886E-3</v>
      </c>
      <c r="R197" s="4">
        <f t="shared" si="25"/>
        <v>-1.737403822288409E-3</v>
      </c>
      <c r="S197" s="4">
        <f t="shared" si="25"/>
        <v>-1.2776831345826234E-3</v>
      </c>
      <c r="T197" s="4">
        <f t="shared" si="25"/>
        <v>-1.7018379850238256E-3</v>
      </c>
      <c r="U197" s="4">
        <f t="shared" si="25"/>
        <v>-9.3745814918976835E-4</v>
      </c>
      <c r="V197" s="4">
        <f t="shared" si="25"/>
        <v>-1.9271948608137045E-3</v>
      </c>
      <c r="W197" s="4">
        <f t="shared" si="25"/>
        <v>-1.9941708851050777E-3</v>
      </c>
      <c r="X197" s="4">
        <f t="shared" si="25"/>
        <v>-1.7661295597758541E-3</v>
      </c>
      <c r="Y197" s="4">
        <f t="shared" si="25"/>
        <v>-1.5401848221786615E-3</v>
      </c>
      <c r="Z197" s="4">
        <f t="shared" si="25"/>
        <v>-1.0223633035918553E-3</v>
      </c>
      <c r="AA197" s="4">
        <f t="shared" si="25"/>
        <v>-4.7246612781299061E-3</v>
      </c>
      <c r="AB197" s="4">
        <f t="shared" si="25"/>
        <v>-3.3251296015080899E-3</v>
      </c>
      <c r="AC197" s="4">
        <f t="shared" si="25"/>
        <v>-2.6421741318570714E-3</v>
      </c>
      <c r="AD197" s="4">
        <f t="shared" si="25"/>
        <v>-4.890327220424308E-3</v>
      </c>
      <c r="AE197" s="4">
        <f t="shared" si="25"/>
        <v>-4.3177025805803794E-3</v>
      </c>
      <c r="AF197" s="4">
        <f t="shared" si="25"/>
        <v>-1.5571913929784825E-3</v>
      </c>
      <c r="AG197" s="4">
        <f t="shared" si="25"/>
        <v>-1.5978760539836279E-3</v>
      </c>
      <c r="AH197" s="4">
        <f t="shared" si="25"/>
        <v>-9.5975753493854187E-3</v>
      </c>
      <c r="AI197" s="4">
        <f t="shared" si="25"/>
        <v>0.98759623609923008</v>
      </c>
      <c r="AJ197" s="4">
        <f t="shared" si="25"/>
        <v>-2.7068549272075497E-3</v>
      </c>
      <c r="AK197" s="4">
        <f t="shared" si="25"/>
        <v>-5.277302031552418E-3</v>
      </c>
      <c r="AL197" s="4">
        <f t="shared" si="25"/>
        <v>-4.84390920175717E-4</v>
      </c>
      <c r="AM197" s="4">
        <f t="shared" si="25"/>
        <v>-1.5237603305785126E-3</v>
      </c>
      <c r="AN197" s="4">
        <f t="shared" si="25"/>
        <v>-1.5053156458744942E-3</v>
      </c>
      <c r="AO197" s="4">
        <f t="shared" si="25"/>
        <v>-1.0162894129095483E-2</v>
      </c>
      <c r="AP197" s="4">
        <f t="shared" si="25"/>
        <v>-4.2656483277642926E-3</v>
      </c>
      <c r="AQ197" s="4">
        <f t="shared" si="25"/>
        <v>-6.5248462000538562E-3</v>
      </c>
      <c r="AR197" s="4">
        <f t="shared" si="25"/>
        <v>-2.9030385136442809E-3</v>
      </c>
      <c r="AS197" s="4">
        <f t="shared" si="25"/>
        <v>-2.5373931623931625E-3</v>
      </c>
      <c r="AT197" s="12">
        <f t="shared" si="25"/>
        <v>0</v>
      </c>
    </row>
    <row r="198" spans="1:46" x14ac:dyDescent="0.25">
      <c r="A198" s="18" t="s">
        <v>80</v>
      </c>
      <c r="B198" s="22">
        <f t="shared" si="25"/>
        <v>-5.2550866850435464E-5</v>
      </c>
      <c r="C198" s="4">
        <f t="shared" si="25"/>
        <v>-6.5074510314309887E-5</v>
      </c>
      <c r="D198" s="4">
        <f t="shared" si="25"/>
        <v>0</v>
      </c>
      <c r="E198" s="4">
        <f t="shared" si="25"/>
        <v>-1.0191659825043173E-3</v>
      </c>
      <c r="F198" s="4">
        <f t="shared" si="25"/>
        <v>-1.8434312400147474E-3</v>
      </c>
      <c r="G198" s="4">
        <f t="shared" si="25"/>
        <v>-1.0497279180553202E-3</v>
      </c>
      <c r="H198" s="4">
        <f t="shared" si="25"/>
        <v>-1.6068903458028025E-3</v>
      </c>
      <c r="I198" s="4">
        <f t="shared" si="25"/>
        <v>-6.0253062864028923E-4</v>
      </c>
      <c r="J198" s="4">
        <f t="shared" si="25"/>
        <v>-3.3381020505484026E-3</v>
      </c>
      <c r="K198" s="4">
        <f t="shared" si="25"/>
        <v>0</v>
      </c>
      <c r="L198" s="4">
        <f t="shared" si="25"/>
        <v>-1.216161434169632E-3</v>
      </c>
      <c r="M198" s="4">
        <f t="shared" si="25"/>
        <v>-2.305533279871692E-3</v>
      </c>
      <c r="N198" s="4">
        <f t="shared" si="25"/>
        <v>-7.4152542372881347E-4</v>
      </c>
      <c r="O198" s="4">
        <f t="shared" si="25"/>
        <v>-1.6173177407315254E-3</v>
      </c>
      <c r="P198" s="4">
        <f t="shared" si="25"/>
        <v>-9.0266285542349944E-4</v>
      </c>
      <c r="Q198" s="4">
        <f t="shared" si="25"/>
        <v>-1.5424164524421595E-3</v>
      </c>
      <c r="R198" s="4">
        <f t="shared" si="25"/>
        <v>-4.964010920824026E-3</v>
      </c>
      <c r="S198" s="4">
        <f t="shared" si="25"/>
        <v>-3.26519023282226E-3</v>
      </c>
      <c r="T198" s="4">
        <f t="shared" si="25"/>
        <v>-1.3614703880190607E-3</v>
      </c>
      <c r="U198" s="4">
        <f t="shared" si="25"/>
        <v>-2.8123744475693048E-3</v>
      </c>
      <c r="V198" s="4">
        <f t="shared" si="25"/>
        <v>-5.5674518201284801E-3</v>
      </c>
      <c r="W198" s="4">
        <f t="shared" si="25"/>
        <v>-2.4543641662831727E-3</v>
      </c>
      <c r="X198" s="4">
        <f t="shared" si="25"/>
        <v>-2.5946841680657608E-3</v>
      </c>
      <c r="Y198" s="4">
        <f t="shared" si="25"/>
        <v>-1.8202184262111453E-3</v>
      </c>
      <c r="Z198" s="4">
        <f t="shared" si="25"/>
        <v>-6.505948295584534E-4</v>
      </c>
      <c r="AA198" s="4">
        <f t="shared" si="25"/>
        <v>-2.747572250974007E-3</v>
      </c>
      <c r="AB198" s="4">
        <f t="shared" si="25"/>
        <v>-8.037911713881761E-3</v>
      </c>
      <c r="AC198" s="4">
        <f t="shared" si="25"/>
        <v>-7.4232511323603428E-3</v>
      </c>
      <c r="AD198" s="4">
        <f t="shared" si="25"/>
        <v>-2.5386551600143831E-2</v>
      </c>
      <c r="AE198" s="4">
        <f t="shared" si="25"/>
        <v>-1.3003313585701375E-2</v>
      </c>
      <c r="AF198" s="4">
        <f t="shared" si="25"/>
        <v>-7.3612684031710085E-3</v>
      </c>
      <c r="AG198" s="4">
        <f t="shared" si="25"/>
        <v>-1.7945377221662282E-3</v>
      </c>
      <c r="AH198" s="4">
        <f t="shared" si="25"/>
        <v>-2.1299882135039569E-2</v>
      </c>
      <c r="AI198" s="4">
        <f t="shared" si="25"/>
        <v>-1.6360136869118906E-2</v>
      </c>
      <c r="AJ198" s="4">
        <f t="shared" si="25"/>
        <v>0.98390518691930651</v>
      </c>
      <c r="AK198" s="4">
        <f t="shared" si="25"/>
        <v>-1.2197669075567066E-2</v>
      </c>
      <c r="AL198" s="4">
        <f t="shared" si="25"/>
        <v>-4.5098464981877103E-4</v>
      </c>
      <c r="AM198" s="4">
        <f t="shared" si="25"/>
        <v>-2.7117768595041323E-3</v>
      </c>
      <c r="AN198" s="4">
        <f t="shared" si="25"/>
        <v>-2.1638912409445853E-3</v>
      </c>
      <c r="AO198" s="4">
        <f t="shared" si="25"/>
        <v>-6.996840799599789E-3</v>
      </c>
      <c r="AP198" s="4">
        <f t="shared" si="25"/>
        <v>-3.9508028559531181E-3</v>
      </c>
      <c r="AQ198" s="4">
        <f t="shared" si="25"/>
        <v>-5.82057708639725E-3</v>
      </c>
      <c r="AR198" s="4">
        <f t="shared" si="25"/>
        <v>-6.5802206309270358E-3</v>
      </c>
      <c r="AS198" s="4">
        <f t="shared" si="25"/>
        <v>-4.674145299145299E-3</v>
      </c>
      <c r="AT198" s="12">
        <f t="shared" si="25"/>
        <v>0</v>
      </c>
    </row>
    <row r="199" spans="1:46" x14ac:dyDescent="0.25">
      <c r="A199" s="18" t="s">
        <v>81</v>
      </c>
      <c r="B199" s="22">
        <f t="shared" si="25"/>
        <v>-5.0209964599825145E-3</v>
      </c>
      <c r="C199" s="4">
        <f t="shared" si="25"/>
        <v>-4.3990368972473479E-2</v>
      </c>
      <c r="D199" s="4">
        <f t="shared" si="25"/>
        <v>-3.6231884057971015E-3</v>
      </c>
      <c r="E199" s="4">
        <f t="shared" si="25"/>
        <v>-6.9359907142654926E-3</v>
      </c>
      <c r="F199" s="4">
        <f t="shared" si="25"/>
        <v>-2.0031952808160256E-2</v>
      </c>
      <c r="G199" s="4">
        <f t="shared" si="25"/>
        <v>-1.0591425182172515E-2</v>
      </c>
      <c r="H199" s="4">
        <f t="shared" si="25"/>
        <v>-1.7772207224578996E-2</v>
      </c>
      <c r="I199" s="4">
        <f t="shared" si="25"/>
        <v>-1.6067483430407713E-2</v>
      </c>
      <c r="J199" s="4">
        <f t="shared" si="25"/>
        <v>-2.412970910824988E-2</v>
      </c>
      <c r="K199" s="4">
        <f t="shared" si="25"/>
        <v>-1.7647058823529412E-2</v>
      </c>
      <c r="L199" s="4">
        <f t="shared" si="25"/>
        <v>-8.5281443778808756E-3</v>
      </c>
      <c r="M199" s="4">
        <f t="shared" si="25"/>
        <v>-1.0575380914194066E-2</v>
      </c>
      <c r="N199" s="4">
        <f t="shared" si="25"/>
        <v>-3.0720338983050849E-2</v>
      </c>
      <c r="O199" s="4">
        <f t="shared" si="25"/>
        <v>-1.2969644190097041E-2</v>
      </c>
      <c r="P199" s="4">
        <f t="shared" si="25"/>
        <v>-3.1041572639285895E-2</v>
      </c>
      <c r="Q199" s="4">
        <f t="shared" si="25"/>
        <v>-2.9862896315338477E-2</v>
      </c>
      <c r="R199" s="4">
        <f t="shared" si="25"/>
        <v>-1.5760734673616283E-2</v>
      </c>
      <c r="S199" s="4">
        <f t="shared" si="25"/>
        <v>-1.6155593412833617E-2</v>
      </c>
      <c r="T199" s="4">
        <f t="shared" si="25"/>
        <v>-1.5316541865214431E-2</v>
      </c>
      <c r="U199" s="4">
        <f t="shared" si="25"/>
        <v>-3.3324405160483912E-2</v>
      </c>
      <c r="V199" s="4">
        <f t="shared" si="25"/>
        <v>-2.0556745182012847E-2</v>
      </c>
      <c r="W199" s="4">
        <f t="shared" si="25"/>
        <v>-2.8071790151863785E-2</v>
      </c>
      <c r="X199" s="4">
        <f t="shared" si="25"/>
        <v>-7.0623378322394945E-2</v>
      </c>
      <c r="Y199" s="4">
        <f t="shared" si="25"/>
        <v>-4.9145897507700924E-2</v>
      </c>
      <c r="Z199" s="4">
        <f t="shared" si="25"/>
        <v>-4.6692690459849001E-2</v>
      </c>
      <c r="AA199" s="4">
        <f t="shared" si="25"/>
        <v>-4.7057626330173866E-2</v>
      </c>
      <c r="AB199" s="4">
        <f t="shared" si="25"/>
        <v>-2.2673718385086659E-2</v>
      </c>
      <c r="AC199" s="4">
        <f t="shared" si="25"/>
        <v>-2.7302466029189735E-2</v>
      </c>
      <c r="AD199" s="4">
        <f t="shared" si="25"/>
        <v>-3.7971952535059326E-2</v>
      </c>
      <c r="AE199" s="4">
        <f t="shared" si="25"/>
        <v>-2.3446129129430667E-2</v>
      </c>
      <c r="AF199" s="4">
        <f t="shared" si="25"/>
        <v>-4.4592298980747451E-2</v>
      </c>
      <c r="AG199" s="4">
        <f t="shared" si="25"/>
        <v>-3.9430664470611373E-2</v>
      </c>
      <c r="AH199" s="4">
        <f t="shared" si="25"/>
        <v>-2.7024751641690523E-2</v>
      </c>
      <c r="AI199" s="4">
        <f t="shared" si="25"/>
        <v>-5.5888223552894217E-2</v>
      </c>
      <c r="AJ199" s="4">
        <f t="shared" si="25"/>
        <v>-4.8723388689735893E-2</v>
      </c>
      <c r="AK199" s="4">
        <f t="shared" si="25"/>
        <v>0.82912123870392807</v>
      </c>
      <c r="AL199" s="4">
        <f t="shared" si="25"/>
        <v>-8.4935442382535212E-2</v>
      </c>
      <c r="AM199" s="4">
        <f t="shared" si="25"/>
        <v>-6.1466942148760334E-2</v>
      </c>
      <c r="AN199" s="4">
        <f t="shared" si="25"/>
        <v>-9.5916831310565429E-2</v>
      </c>
      <c r="AO199" s="4">
        <f t="shared" si="25"/>
        <v>-3.4833439553737244E-2</v>
      </c>
      <c r="AP199" s="4">
        <f t="shared" si="25"/>
        <v>-4.2961172443911795E-3</v>
      </c>
      <c r="AQ199" s="4">
        <f t="shared" si="25"/>
        <v>-7.0426911365660668E-3</v>
      </c>
      <c r="AR199" s="4">
        <f t="shared" si="25"/>
        <v>-1.1805689955486741E-2</v>
      </c>
      <c r="AS199" s="4">
        <f t="shared" si="25"/>
        <v>-1.201923076923077E-2</v>
      </c>
      <c r="AT199" s="12">
        <f t="shared" si="25"/>
        <v>0</v>
      </c>
    </row>
    <row r="200" spans="1:46" x14ac:dyDescent="0.25">
      <c r="A200" s="18" t="s">
        <v>82</v>
      </c>
      <c r="B200" s="22">
        <f t="shared" si="25"/>
        <v>-4.7773515318577691E-5</v>
      </c>
      <c r="C200" s="4">
        <f t="shared" si="25"/>
        <v>-6.5074510314309887E-5</v>
      </c>
      <c r="D200" s="4">
        <f t="shared" si="25"/>
        <v>0</v>
      </c>
      <c r="E200" s="4">
        <f t="shared" si="25"/>
        <v>-1.6419896384791777E-3</v>
      </c>
      <c r="F200" s="4">
        <f t="shared" si="25"/>
        <v>-6.1447708000491577E-4</v>
      </c>
      <c r="G200" s="4">
        <f t="shared" si="25"/>
        <v>-2.0147244346532603E-3</v>
      </c>
      <c r="H200" s="4">
        <f t="shared" si="25"/>
        <v>-3.0691605604833529E-3</v>
      </c>
      <c r="I200" s="4">
        <f t="shared" si="25"/>
        <v>-1.2050612572805785E-3</v>
      </c>
      <c r="J200" s="4">
        <f t="shared" si="25"/>
        <v>-4.6733428707677639E-3</v>
      </c>
      <c r="K200" s="4">
        <f t="shared" si="25"/>
        <v>0</v>
      </c>
      <c r="L200" s="4">
        <f t="shared" si="25"/>
        <v>-1.5164482080386769E-3</v>
      </c>
      <c r="M200" s="4">
        <f t="shared" si="25"/>
        <v>-2.5561347233360064E-3</v>
      </c>
      <c r="N200" s="4">
        <f t="shared" si="25"/>
        <v>-1.3771186440677966E-3</v>
      </c>
      <c r="O200" s="4">
        <f t="shared" si="25"/>
        <v>-2.9858173675043542E-3</v>
      </c>
      <c r="P200" s="4">
        <f t="shared" si="25"/>
        <v>-8.0236698259866616E-4</v>
      </c>
      <c r="Q200" s="4">
        <f t="shared" si="25"/>
        <v>-2.4850042844901457E-3</v>
      </c>
      <c r="R200" s="4">
        <f t="shared" si="25"/>
        <v>-2.7302060064532145E-3</v>
      </c>
      <c r="S200" s="4">
        <f t="shared" si="25"/>
        <v>-3.2367972742759796E-3</v>
      </c>
      <c r="T200" s="4">
        <f t="shared" si="25"/>
        <v>-2.0422055820285907E-3</v>
      </c>
      <c r="U200" s="4">
        <f t="shared" si="25"/>
        <v>-2.6561314227043437E-3</v>
      </c>
      <c r="V200" s="4">
        <f t="shared" si="25"/>
        <v>-4.0685224839400423E-3</v>
      </c>
      <c r="W200" s="4">
        <f t="shared" si="25"/>
        <v>-3.9116428900138056E-3</v>
      </c>
      <c r="X200" s="4">
        <f t="shared" si="25"/>
        <v>-2.3766434816736804E-3</v>
      </c>
      <c r="Y200" s="4">
        <f t="shared" si="25"/>
        <v>-2.1002520302436292E-3</v>
      </c>
      <c r="Z200" s="4">
        <f t="shared" si="25"/>
        <v>-2.0375772134522993E-3</v>
      </c>
      <c r="AA200" s="4">
        <f t="shared" si="25"/>
        <v>-1.0147118683491305E-2</v>
      </c>
      <c r="AB200" s="4">
        <f t="shared" si="25"/>
        <v>-1.3483793265958003E-2</v>
      </c>
      <c r="AC200" s="4">
        <f t="shared" si="25"/>
        <v>-9.1847005535983899E-3</v>
      </c>
      <c r="AD200" s="4">
        <f t="shared" si="25"/>
        <v>-2.5242718446601944E-2</v>
      </c>
      <c r="AE200" s="4">
        <f t="shared" si="25"/>
        <v>-2.7060949894567726E-2</v>
      </c>
      <c r="AF200" s="4">
        <f t="shared" ref="AF200:AT200" si="26">AF150-AF94</f>
        <v>-9.9093997734994339E-3</v>
      </c>
      <c r="AG200" s="4">
        <f t="shared" si="26"/>
        <v>-1.1357211337545171E-2</v>
      </c>
      <c r="AH200" s="4">
        <f t="shared" si="26"/>
        <v>-2.4583263175618791E-2</v>
      </c>
      <c r="AI200" s="4">
        <f t="shared" si="26"/>
        <v>-1.4649272882805818E-2</v>
      </c>
      <c r="AJ200" s="4">
        <f t="shared" si="26"/>
        <v>-3.7310703050698656E-3</v>
      </c>
      <c r="AK200" s="4">
        <f t="shared" si="26"/>
        <v>-1.0317891307072141E-2</v>
      </c>
      <c r="AL200" s="4">
        <f t="shared" si="26"/>
        <v>0.99675959177537621</v>
      </c>
      <c r="AM200" s="4">
        <f t="shared" si="26"/>
        <v>-3.796487603305785E-3</v>
      </c>
      <c r="AN200" s="4">
        <f t="shared" si="26"/>
        <v>-4.5629880515570603E-3</v>
      </c>
      <c r="AO200" s="4">
        <f t="shared" si="26"/>
        <v>-7.7026925159159295E-3</v>
      </c>
      <c r="AP200" s="4">
        <f t="shared" si="26"/>
        <v>-8.0133250728714918E-3</v>
      </c>
      <c r="AQ200" s="4">
        <f t="shared" si="26"/>
        <v>-1.0543322907388611E-2</v>
      </c>
      <c r="AR200" s="4">
        <f t="shared" si="26"/>
        <v>-1.4321656667311786E-2</v>
      </c>
      <c r="AS200" s="4">
        <f t="shared" si="26"/>
        <v>-1.2553418803418804E-2</v>
      </c>
      <c r="AT200" s="12">
        <f t="shared" si="26"/>
        <v>0</v>
      </c>
    </row>
    <row r="201" spans="1:46" x14ac:dyDescent="0.25">
      <c r="A201" s="18" t="s">
        <v>83</v>
      </c>
      <c r="B201" s="22">
        <f t="shared" ref="B201:AT206" si="27">B151-B95</f>
        <v>-2.2931287352917289E-4</v>
      </c>
      <c r="C201" s="4">
        <f t="shared" si="27"/>
        <v>-3.2537255157154944E-4</v>
      </c>
      <c r="D201" s="4">
        <f t="shared" si="27"/>
        <v>0</v>
      </c>
      <c r="E201" s="4">
        <f t="shared" si="27"/>
        <v>-6.4830280553746841E-3</v>
      </c>
      <c r="F201" s="4">
        <f t="shared" si="27"/>
        <v>-3.6254147720290029E-2</v>
      </c>
      <c r="G201" s="4">
        <f t="shared" si="27"/>
        <v>-8.5249204466286317E-3</v>
      </c>
      <c r="H201" s="4">
        <f t="shared" si="27"/>
        <v>-6.9578351973261345E-3</v>
      </c>
      <c r="I201" s="4">
        <f t="shared" si="27"/>
        <v>-3.6151837718417356E-3</v>
      </c>
      <c r="J201" s="4">
        <f t="shared" si="27"/>
        <v>-1.4878397711015736E-2</v>
      </c>
      <c r="K201" s="4">
        <f t="shared" si="27"/>
        <v>-5.8823529411764705E-3</v>
      </c>
      <c r="L201" s="4">
        <f t="shared" si="27"/>
        <v>-8.8734741678302784E-3</v>
      </c>
      <c r="M201" s="4">
        <f t="shared" si="27"/>
        <v>-2.0198476343223734E-2</v>
      </c>
      <c r="N201" s="4">
        <f t="shared" si="27"/>
        <v>-4.7669491525423732E-3</v>
      </c>
      <c r="O201" s="4">
        <f t="shared" si="27"/>
        <v>-1.0014929086837524E-2</v>
      </c>
      <c r="P201" s="4">
        <f t="shared" si="27"/>
        <v>-4.5634622135299133E-3</v>
      </c>
      <c r="Q201" s="4">
        <f t="shared" si="27"/>
        <v>-8.1405312767780635E-3</v>
      </c>
      <c r="R201" s="4">
        <f t="shared" si="27"/>
        <v>-1.2410027302060065E-2</v>
      </c>
      <c r="S201" s="4">
        <f t="shared" si="27"/>
        <v>-1.6609880749574105E-2</v>
      </c>
      <c r="T201" s="4">
        <f t="shared" si="27"/>
        <v>-7.8284547311095968E-3</v>
      </c>
      <c r="U201" s="4">
        <f t="shared" si="27"/>
        <v>-1.4932369090665597E-2</v>
      </c>
      <c r="V201" s="4">
        <f t="shared" si="27"/>
        <v>-2.226980728051392E-2</v>
      </c>
      <c r="W201" s="4">
        <f t="shared" si="27"/>
        <v>-1.6566958122411414E-2</v>
      </c>
      <c r="X201" s="4">
        <f t="shared" si="27"/>
        <v>-1.0335128534984627E-2</v>
      </c>
      <c r="Y201" s="4">
        <f t="shared" si="27"/>
        <v>-6.020722486698403E-3</v>
      </c>
      <c r="Z201" s="4">
        <f t="shared" si="27"/>
        <v>-8.9653397391901164E-3</v>
      </c>
      <c r="AA201" s="4">
        <f t="shared" si="27"/>
        <v>-1.8796883177298367E-2</v>
      </c>
      <c r="AB201" s="4">
        <f t="shared" si="27"/>
        <v>-3.2046918364140968E-2</v>
      </c>
      <c r="AC201" s="4">
        <f t="shared" si="27"/>
        <v>-3.6487166582788125E-2</v>
      </c>
      <c r="AD201" s="4">
        <f t="shared" si="27"/>
        <v>-5.27148507731032E-2</v>
      </c>
      <c r="AE201" s="4">
        <f t="shared" si="27"/>
        <v>-4.9302138768952709E-2</v>
      </c>
      <c r="AF201" s="4">
        <f t="shared" si="27"/>
        <v>-1.5288788221970556E-2</v>
      </c>
      <c r="AG201" s="4">
        <f t="shared" si="27"/>
        <v>-1.0644312790383243E-2</v>
      </c>
      <c r="AH201" s="4">
        <f t="shared" si="27"/>
        <v>-7.1139922545883152E-2</v>
      </c>
      <c r="AI201" s="4">
        <f t="shared" si="27"/>
        <v>-3.1187624750499004E-2</v>
      </c>
      <c r="AJ201" s="4">
        <f t="shared" si="27"/>
        <v>-1.6899553734728217E-2</v>
      </c>
      <c r="AK201" s="4">
        <f t="shared" si="27"/>
        <v>-2.8433379283456562E-2</v>
      </c>
      <c r="AL201" s="4">
        <f t="shared" si="27"/>
        <v>-4.8272060665786971E-3</v>
      </c>
      <c r="AM201" s="4">
        <f t="shared" si="27"/>
        <v>0.96668388429752061</v>
      </c>
      <c r="AN201" s="4">
        <f t="shared" si="27"/>
        <v>-1.4159375294006961E-2</v>
      </c>
      <c r="AO201" s="4">
        <f t="shared" si="27"/>
        <v>-1.7289940585103105E-2</v>
      </c>
      <c r="AP201" s="4">
        <f t="shared" si="27"/>
        <v>-1.2289129706178081E-2</v>
      </c>
      <c r="AQ201" s="4">
        <f t="shared" si="27"/>
        <v>-1.8953124676346914E-2</v>
      </c>
      <c r="AR201" s="4">
        <f t="shared" si="27"/>
        <v>-3.5223533965550606E-2</v>
      </c>
      <c r="AS201" s="4">
        <f t="shared" si="27"/>
        <v>-2.6442307692307696E-2</v>
      </c>
      <c r="AT201" s="12">
        <f t="shared" si="27"/>
        <v>0</v>
      </c>
    </row>
    <row r="202" spans="1:46" x14ac:dyDescent="0.25">
      <c r="A202" s="18" t="s">
        <v>84</v>
      </c>
      <c r="B202" s="22">
        <f t="shared" si="27"/>
        <v>-1.2421113982830201E-4</v>
      </c>
      <c r="C202" s="4">
        <f t="shared" si="27"/>
        <v>-1.9522353094292963E-4</v>
      </c>
      <c r="D202" s="4">
        <f t="shared" si="27"/>
        <v>0</v>
      </c>
      <c r="E202" s="4">
        <f t="shared" si="27"/>
        <v>-3.9351130991138921E-3</v>
      </c>
      <c r="F202" s="4">
        <f t="shared" si="27"/>
        <v>-1.3026914096104214E-2</v>
      </c>
      <c r="G202" s="4">
        <f t="shared" si="27"/>
        <v>-3.5587188612099642E-3</v>
      </c>
      <c r="H202" s="4">
        <f t="shared" si="27"/>
        <v>-3.2941252088957451E-3</v>
      </c>
      <c r="I202" s="4">
        <f t="shared" si="27"/>
        <v>-1.8075918859208678E-3</v>
      </c>
      <c r="J202" s="4">
        <f t="shared" si="27"/>
        <v>-7.8206962327133991E-3</v>
      </c>
      <c r="K202" s="4">
        <f t="shared" si="27"/>
        <v>0</v>
      </c>
      <c r="L202" s="4">
        <f t="shared" si="27"/>
        <v>-3.663498641202348E-3</v>
      </c>
      <c r="M202" s="4">
        <f t="shared" si="27"/>
        <v>-7.4178027265437048E-3</v>
      </c>
      <c r="N202" s="4">
        <f t="shared" si="27"/>
        <v>-2.4364406779661014E-3</v>
      </c>
      <c r="O202" s="4">
        <f t="shared" si="27"/>
        <v>-5.7539188852948498E-3</v>
      </c>
      <c r="P202" s="4">
        <f t="shared" si="27"/>
        <v>-2.9587282483325814E-3</v>
      </c>
      <c r="Q202" s="4">
        <f t="shared" si="27"/>
        <v>-4.4558697514995721E-3</v>
      </c>
      <c r="R202" s="4">
        <f t="shared" si="27"/>
        <v>-6.8255150161330358E-3</v>
      </c>
      <c r="S202" s="4">
        <f t="shared" si="27"/>
        <v>-7.6660988074957409E-3</v>
      </c>
      <c r="T202" s="4">
        <f t="shared" si="27"/>
        <v>-3.7440435670524166E-3</v>
      </c>
      <c r="U202" s="4">
        <f t="shared" si="27"/>
        <v>-7.7005490826302404E-3</v>
      </c>
      <c r="V202" s="4">
        <f t="shared" si="27"/>
        <v>-1.1563169164882228E-2</v>
      </c>
      <c r="W202" s="4">
        <f t="shared" si="27"/>
        <v>-9.4339622641509448E-3</v>
      </c>
      <c r="X202" s="4">
        <f t="shared" si="27"/>
        <v>-5.3638008852451872E-3</v>
      </c>
      <c r="Y202" s="4">
        <f t="shared" si="27"/>
        <v>-4.9005880705684677E-3</v>
      </c>
      <c r="Z202" s="4">
        <f t="shared" si="27"/>
        <v>-3.2315259665980324E-3</v>
      </c>
      <c r="AA202" s="4">
        <f t="shared" si="27"/>
        <v>-7.66121998022911E-3</v>
      </c>
      <c r="AB202" s="4">
        <f t="shared" si="27"/>
        <v>-3.236110383829921E-2</v>
      </c>
      <c r="AC202" s="4">
        <f t="shared" si="27"/>
        <v>-3.9129340714645196E-2</v>
      </c>
      <c r="AD202" s="4">
        <f t="shared" si="27"/>
        <v>-8.6515641855447675E-2</v>
      </c>
      <c r="AE202" s="4">
        <f t="shared" si="27"/>
        <v>-4.0265086856110056E-2</v>
      </c>
      <c r="AF202" s="4">
        <f t="shared" si="27"/>
        <v>-1.7412231030577579E-2</v>
      </c>
      <c r="AG202" s="4">
        <f t="shared" si="27"/>
        <v>-7.8173013102583646E-3</v>
      </c>
      <c r="AH202" s="4">
        <f t="shared" si="27"/>
        <v>-3.4685974069708705E-2</v>
      </c>
      <c r="AI202" s="4">
        <f t="shared" si="27"/>
        <v>-2.0851154833190763E-2</v>
      </c>
      <c r="AJ202" s="4">
        <f t="shared" si="27"/>
        <v>-8.4863559880020475E-3</v>
      </c>
      <c r="AK202" s="4">
        <f t="shared" si="27"/>
        <v>-1.1376136569335952E-2</v>
      </c>
      <c r="AL202" s="4">
        <f t="shared" si="27"/>
        <v>-2.5388765471278957E-3</v>
      </c>
      <c r="AM202" s="4">
        <f t="shared" si="27"/>
        <v>-8.057851239669421E-3</v>
      </c>
      <c r="AN202" s="4">
        <f t="shared" si="27"/>
        <v>0.98400602126258352</v>
      </c>
      <c r="AO202" s="4">
        <f t="shared" si="27"/>
        <v>-9.8476593820028373E-3</v>
      </c>
      <c r="AP202" s="4">
        <f t="shared" si="27"/>
        <v>-8.7648916830013902E-3</v>
      </c>
      <c r="AQ202" s="4">
        <f t="shared" si="27"/>
        <v>-1.5825341259813164E-2</v>
      </c>
      <c r="AR202" s="4">
        <f t="shared" si="27"/>
        <v>-2.0514805496419583E-2</v>
      </c>
      <c r="AS202" s="4">
        <f t="shared" si="27"/>
        <v>-1.1351495726495728E-2</v>
      </c>
      <c r="AT202" s="12">
        <f t="shared" si="27"/>
        <v>0</v>
      </c>
    </row>
    <row r="203" spans="1:46" x14ac:dyDescent="0.25">
      <c r="A203" s="18" t="s">
        <v>85</v>
      </c>
      <c r="B203" s="22">
        <f t="shared" si="27"/>
        <v>-6.783839175238032E-4</v>
      </c>
      <c r="C203" s="4">
        <f t="shared" si="27"/>
        <v>-4.5552157220016916E-4</v>
      </c>
      <c r="D203" s="4">
        <f t="shared" si="27"/>
        <v>0</v>
      </c>
      <c r="E203" s="4">
        <f t="shared" si="27"/>
        <v>-1.5853693061178267E-3</v>
      </c>
      <c r="F203" s="4">
        <f t="shared" si="27"/>
        <v>-2.4579083200196631E-3</v>
      </c>
      <c r="G203" s="4">
        <f t="shared" si="27"/>
        <v>-2.5325274435594723E-3</v>
      </c>
      <c r="H203" s="4">
        <f t="shared" si="27"/>
        <v>-2.1371641599177275E-3</v>
      </c>
      <c r="I203" s="4">
        <f t="shared" si="27"/>
        <v>-1.8075918859208678E-3</v>
      </c>
      <c r="J203" s="4">
        <f t="shared" si="27"/>
        <v>-2.193609918931807E-3</v>
      </c>
      <c r="K203" s="4">
        <f t="shared" si="27"/>
        <v>0</v>
      </c>
      <c r="L203" s="4">
        <f t="shared" si="27"/>
        <v>-1.1260754020089186E-3</v>
      </c>
      <c r="M203" s="4">
        <f t="shared" si="27"/>
        <v>-2.0549318364073777E-3</v>
      </c>
      <c r="N203" s="4">
        <f t="shared" si="27"/>
        <v>-4.555084745762712E-3</v>
      </c>
      <c r="O203" s="4">
        <f t="shared" si="27"/>
        <v>-4.7586464294600648E-3</v>
      </c>
      <c r="P203" s="4">
        <f t="shared" si="27"/>
        <v>-1.353994283135249E-3</v>
      </c>
      <c r="Q203" s="4">
        <f t="shared" si="27"/>
        <v>-1.6709511568123393E-3</v>
      </c>
      <c r="R203" s="4">
        <f t="shared" si="27"/>
        <v>-2.3579051873914123E-3</v>
      </c>
      <c r="S203" s="4">
        <f t="shared" si="27"/>
        <v>-2.5553662691652468E-3</v>
      </c>
      <c r="T203" s="4">
        <f t="shared" si="27"/>
        <v>-1.7018379850238256E-3</v>
      </c>
      <c r="U203" s="4">
        <f t="shared" si="27"/>
        <v>-1.2053033346725594E-3</v>
      </c>
      <c r="V203" s="4">
        <f t="shared" si="27"/>
        <v>-2.78372591006424E-3</v>
      </c>
      <c r="W203" s="4">
        <f t="shared" si="27"/>
        <v>-2.2242675256941248E-3</v>
      </c>
      <c r="X203" s="4">
        <f t="shared" si="27"/>
        <v>-4.3826177964808232E-3</v>
      </c>
      <c r="Y203" s="4">
        <f t="shared" si="27"/>
        <v>-4.0604872584710161E-3</v>
      </c>
      <c r="Z203" s="4">
        <f t="shared" si="27"/>
        <v>-8.5077785403797753E-4</v>
      </c>
      <c r="AA203" s="4">
        <f t="shared" si="27"/>
        <v>-2.3841367680409371E-3</v>
      </c>
      <c r="AB203" s="4">
        <f t="shared" si="27"/>
        <v>-2.539665916112478E-3</v>
      </c>
      <c r="AC203" s="4">
        <f t="shared" si="27"/>
        <v>-2.7679919476597892E-3</v>
      </c>
      <c r="AD203" s="4">
        <f t="shared" si="27"/>
        <v>-4.9622437971952541E-3</v>
      </c>
      <c r="AE203" s="4">
        <f t="shared" si="27"/>
        <v>-4.2674967366201425E-3</v>
      </c>
      <c r="AF203" s="4">
        <f t="shared" si="27"/>
        <v>-1.8403171007927521E-3</v>
      </c>
      <c r="AG203" s="4">
        <f t="shared" si="27"/>
        <v>-2.4091054352368547E-3</v>
      </c>
      <c r="AH203" s="4">
        <f t="shared" si="27"/>
        <v>-2.752988718639502E-2</v>
      </c>
      <c r="AI203" s="4">
        <f t="shared" si="27"/>
        <v>-2.8514399771884802E-3</v>
      </c>
      <c r="AJ203" s="4">
        <f t="shared" si="27"/>
        <v>-1.9021142731728729E-3</v>
      </c>
      <c r="AK203" s="4">
        <f t="shared" si="27"/>
        <v>-1.8937020482615538E-3</v>
      </c>
      <c r="AL203" s="4">
        <f t="shared" si="27"/>
        <v>-6.0131286642502808E-4</v>
      </c>
      <c r="AM203" s="4">
        <f t="shared" si="27"/>
        <v>-2.6342975206611568E-3</v>
      </c>
      <c r="AN203" s="4">
        <f t="shared" si="27"/>
        <v>-1.7875623294759618E-3</v>
      </c>
      <c r="AO203" s="4">
        <f t="shared" si="27"/>
        <v>0.99769056283108215</v>
      </c>
      <c r="AP203" s="4">
        <f t="shared" si="27"/>
        <v>-2.3765754968972483E-3</v>
      </c>
      <c r="AQ203" s="4">
        <f t="shared" si="27"/>
        <v>-3.1484972139942417E-3</v>
      </c>
      <c r="AR203" s="4">
        <f t="shared" si="27"/>
        <v>-1.1999225856396361E-2</v>
      </c>
      <c r="AS203" s="4">
        <f t="shared" si="27"/>
        <v>-5.4754273504273501E-3</v>
      </c>
      <c r="AT203" s="12">
        <f t="shared" si="27"/>
        <v>0</v>
      </c>
    </row>
    <row r="204" spans="1:46" x14ac:dyDescent="0.25">
      <c r="A204" s="18" t="s">
        <v>86</v>
      </c>
      <c r="B204" s="22">
        <f t="shared" si="27"/>
        <v>-3.0957237926438341E-3</v>
      </c>
      <c r="C204" s="4">
        <f t="shared" si="27"/>
        <v>-1.9522353094292963E-4</v>
      </c>
      <c r="D204" s="4">
        <f t="shared" si="27"/>
        <v>0</v>
      </c>
      <c r="E204" s="4">
        <f t="shared" si="27"/>
        <v>-1.1324066472270192E-4</v>
      </c>
      <c r="F204" s="4">
        <f t="shared" si="27"/>
        <v>-4.9158166400393262E-4</v>
      </c>
      <c r="G204" s="4">
        <f t="shared" si="27"/>
        <v>-3.4363290591048602E-4</v>
      </c>
      <c r="H204" s="4">
        <f t="shared" si="27"/>
        <v>-2.8924026224450445E-4</v>
      </c>
      <c r="I204" s="4">
        <f t="shared" si="27"/>
        <v>-2.0084354288009643E-4</v>
      </c>
      <c r="J204" s="4">
        <f t="shared" si="27"/>
        <v>-2.8612303290414875E-4</v>
      </c>
      <c r="K204" s="4">
        <f t="shared" si="27"/>
        <v>0</v>
      </c>
      <c r="L204" s="4">
        <f t="shared" si="27"/>
        <v>-1.951864030148792E-4</v>
      </c>
      <c r="M204" s="4">
        <f t="shared" si="27"/>
        <v>-2.5060144346431435E-4</v>
      </c>
      <c r="N204" s="4">
        <f t="shared" si="27"/>
        <v>-4.2372881355932208E-4</v>
      </c>
      <c r="O204" s="4">
        <f t="shared" si="27"/>
        <v>-2.488181139586962E-4</v>
      </c>
      <c r="P204" s="4">
        <f t="shared" si="27"/>
        <v>-1.5044380923724988E-4</v>
      </c>
      <c r="Q204" s="4">
        <f t="shared" si="27"/>
        <v>-2.5706940874035988E-4</v>
      </c>
      <c r="R204" s="4">
        <f t="shared" si="27"/>
        <v>-3.7230081906180194E-4</v>
      </c>
      <c r="S204" s="4">
        <f t="shared" si="27"/>
        <v>-2.271436683702442E-4</v>
      </c>
      <c r="T204" s="4">
        <f t="shared" si="27"/>
        <v>-3.4036759700476518E-4</v>
      </c>
      <c r="U204" s="4">
        <f t="shared" si="27"/>
        <v>-2.901656176063569E-4</v>
      </c>
      <c r="V204" s="4">
        <f t="shared" si="27"/>
        <v>-2.1413276231263385E-4</v>
      </c>
      <c r="W204" s="4">
        <f t="shared" si="27"/>
        <v>-8.4368768215984052E-4</v>
      </c>
      <c r="X204" s="4">
        <f t="shared" si="27"/>
        <v>-1.0902034319604038E-4</v>
      </c>
      <c r="Y204" s="4">
        <f t="shared" si="27"/>
        <v>-1.4001680201624196E-4</v>
      </c>
      <c r="Z204" s="4">
        <f t="shared" si="27"/>
        <v>-1.9303363074811257E-4</v>
      </c>
      <c r="AA204" s="4">
        <f t="shared" si="27"/>
        <v>-1.4537419317322788E-4</v>
      </c>
      <c r="AB204" s="4">
        <f t="shared" si="27"/>
        <v>-2.8800335131172439E-4</v>
      </c>
      <c r="AC204" s="4">
        <f t="shared" si="27"/>
        <v>-2.5163563160543538E-4</v>
      </c>
      <c r="AD204" s="4">
        <f t="shared" si="27"/>
        <v>-5.0341603739661989E-4</v>
      </c>
      <c r="AE204" s="4">
        <f t="shared" si="27"/>
        <v>-2.5102921980118485E-4</v>
      </c>
      <c r="AF204" s="4">
        <f t="shared" si="27"/>
        <v>-1.4156285390713478E-4</v>
      </c>
      <c r="AG204" s="4">
        <f t="shared" si="27"/>
        <v>-1.720789596597753E-4</v>
      </c>
      <c r="AH204" s="4">
        <f t="shared" si="27"/>
        <v>-1.0439467923892913E-2</v>
      </c>
      <c r="AI204" s="4">
        <f t="shared" si="27"/>
        <v>-1.7821499857428001E-4</v>
      </c>
      <c r="AJ204" s="4">
        <f t="shared" si="27"/>
        <v>-7.3158241275879721E-5</v>
      </c>
      <c r="AK204" s="4">
        <f t="shared" si="27"/>
        <v>-3.9544954537226564E-3</v>
      </c>
      <c r="AL204" s="4">
        <f t="shared" si="27"/>
        <v>-1.6703135178473002E-5</v>
      </c>
      <c r="AM204" s="4">
        <f t="shared" si="27"/>
        <v>-7.7479338842975198E-5</v>
      </c>
      <c r="AN204" s="4">
        <f t="shared" si="27"/>
        <v>-9.4082227867155888E-5</v>
      </c>
      <c r="AO204" s="4">
        <f t="shared" si="27"/>
        <v>-9.9778650384106694E-3</v>
      </c>
      <c r="AP204" s="4">
        <f t="shared" si="27"/>
        <v>0.98365850438244584</v>
      </c>
      <c r="AQ204" s="4">
        <f t="shared" si="27"/>
        <v>-7.0426911365660668E-3</v>
      </c>
      <c r="AR204" s="4">
        <f t="shared" si="27"/>
        <v>-7.160828333655893E-3</v>
      </c>
      <c r="AS204" s="4">
        <f t="shared" si="27"/>
        <v>-8.814102564102564E-3</v>
      </c>
      <c r="AT204" s="12">
        <f t="shared" si="27"/>
        <v>0</v>
      </c>
    </row>
    <row r="205" spans="1:46" x14ac:dyDescent="0.25">
      <c r="A205" s="18" t="s">
        <v>87</v>
      </c>
      <c r="B205" s="22">
        <f t="shared" si="27"/>
        <v>-1.8727218004882455E-3</v>
      </c>
      <c r="C205" s="4">
        <f t="shared" si="27"/>
        <v>-1.9522353094292963E-4</v>
      </c>
      <c r="D205" s="4">
        <f t="shared" si="27"/>
        <v>0</v>
      </c>
      <c r="E205" s="4">
        <f t="shared" si="27"/>
        <v>-1.1324066472270192E-4</v>
      </c>
      <c r="F205" s="4">
        <f t="shared" si="27"/>
        <v>-3.6868624800294946E-4</v>
      </c>
      <c r="G205" s="4">
        <f t="shared" si="27"/>
        <v>-3.718767063962794E-4</v>
      </c>
      <c r="H205" s="4">
        <f t="shared" si="27"/>
        <v>-6.106183314050649E-4</v>
      </c>
      <c r="I205" s="4">
        <f t="shared" si="27"/>
        <v>-4.0168708576019286E-4</v>
      </c>
      <c r="J205" s="4">
        <f t="shared" si="27"/>
        <v>-2.8612303290414875E-4</v>
      </c>
      <c r="K205" s="4">
        <f t="shared" si="27"/>
        <v>0</v>
      </c>
      <c r="L205" s="4">
        <f t="shared" si="27"/>
        <v>-2.2521508040178369E-4</v>
      </c>
      <c r="M205" s="4">
        <f t="shared" si="27"/>
        <v>-3.0072173215717722E-4</v>
      </c>
      <c r="N205" s="4">
        <f t="shared" si="27"/>
        <v>-5.2966101694915254E-4</v>
      </c>
      <c r="O205" s="4">
        <f t="shared" si="27"/>
        <v>-2.7992037820353323E-4</v>
      </c>
      <c r="P205" s="4">
        <f t="shared" si="27"/>
        <v>-1.5044380923724988E-4</v>
      </c>
      <c r="Q205" s="4">
        <f t="shared" si="27"/>
        <v>-2.5706940874035988E-4</v>
      </c>
      <c r="R205" s="4">
        <f t="shared" si="27"/>
        <v>-8.6870191114420451E-4</v>
      </c>
      <c r="S205" s="4">
        <f t="shared" si="27"/>
        <v>-4.8268029528676887E-4</v>
      </c>
      <c r="T205" s="4">
        <f t="shared" si="27"/>
        <v>-3.4036759700476518E-4</v>
      </c>
      <c r="U205" s="4">
        <f t="shared" si="27"/>
        <v>-2.6784518548279097E-4</v>
      </c>
      <c r="V205" s="4">
        <f t="shared" si="27"/>
        <v>-2.1413276231263385E-4</v>
      </c>
      <c r="W205" s="4">
        <f t="shared" si="27"/>
        <v>-5.3689216137444394E-4</v>
      </c>
      <c r="X205" s="4">
        <f t="shared" si="27"/>
        <v>-1.3082441183524845E-4</v>
      </c>
      <c r="Y205" s="4">
        <f t="shared" si="27"/>
        <v>-1.4001680201624196E-4</v>
      </c>
      <c r="Z205" s="4">
        <f t="shared" si="27"/>
        <v>-2.5022878059940517E-4</v>
      </c>
      <c r="AA205" s="4">
        <f t="shared" si="27"/>
        <v>-1.5991161249055068E-4</v>
      </c>
      <c r="AB205" s="4">
        <f t="shared" si="27"/>
        <v>-3.4036759700476512E-4</v>
      </c>
      <c r="AC205" s="4">
        <f t="shared" si="27"/>
        <v>-3.7745344740815299E-4</v>
      </c>
      <c r="AD205" s="4">
        <f t="shared" si="27"/>
        <v>-7.19165767709457E-4</v>
      </c>
      <c r="AE205" s="4">
        <f t="shared" si="27"/>
        <v>-2.5102921980118485E-4</v>
      </c>
      <c r="AF205" s="4">
        <f t="shared" si="27"/>
        <v>-1.4156285390713478E-4</v>
      </c>
      <c r="AG205" s="4">
        <f t="shared" si="27"/>
        <v>-1.9666166818260036E-4</v>
      </c>
      <c r="AH205" s="4">
        <f t="shared" si="27"/>
        <v>-2.6098669809732282E-3</v>
      </c>
      <c r="AI205" s="4">
        <f t="shared" si="27"/>
        <v>-2.13857998289136E-4</v>
      </c>
      <c r="AJ205" s="4">
        <f t="shared" si="27"/>
        <v>-7.3158241275879721E-5</v>
      </c>
      <c r="AK205" s="4">
        <f t="shared" si="27"/>
        <v>-1.5455950540958269E-3</v>
      </c>
      <c r="AL205" s="4">
        <f t="shared" si="27"/>
        <v>-1.6703135178473002E-5</v>
      </c>
      <c r="AM205" s="4">
        <f t="shared" si="27"/>
        <v>-7.7479338842975198E-5</v>
      </c>
      <c r="AN205" s="4">
        <f t="shared" si="27"/>
        <v>-9.4082227867155888E-5</v>
      </c>
      <c r="AO205" s="4">
        <f t="shared" si="27"/>
        <v>-4.3653159543046681E-3</v>
      </c>
      <c r="AP205" s="4">
        <f t="shared" si="27"/>
        <v>-1.2898508038715836E-3</v>
      </c>
      <c r="AQ205" s="4">
        <f t="shared" si="27"/>
        <v>0.9877581457008513</v>
      </c>
      <c r="AR205" s="4">
        <f t="shared" si="27"/>
        <v>-4.0642539191019936E-3</v>
      </c>
      <c r="AS205" s="4">
        <f t="shared" si="27"/>
        <v>-3.872863247863248E-3</v>
      </c>
      <c r="AT205" s="12">
        <f t="shared" si="27"/>
        <v>0</v>
      </c>
    </row>
    <row r="206" spans="1:46" x14ac:dyDescent="0.25">
      <c r="A206" s="18" t="s">
        <v>88</v>
      </c>
      <c r="B206" s="22">
        <f t="shared" si="27"/>
        <v>-3.8218812254862151E-5</v>
      </c>
      <c r="C206" s="4">
        <f t="shared" si="27"/>
        <v>-1.3014902062861977E-4</v>
      </c>
      <c r="D206" s="4">
        <f t="shared" si="27"/>
        <v>0</v>
      </c>
      <c r="E206" s="4">
        <f t="shared" si="27"/>
        <v>-5.0958299125215866E-4</v>
      </c>
      <c r="F206" s="4">
        <f t="shared" si="27"/>
        <v>-1.2289541600098315E-4</v>
      </c>
      <c r="G206" s="4">
        <f t="shared" si="27"/>
        <v>-2.8714530493889926E-4</v>
      </c>
      <c r="H206" s="4">
        <f t="shared" si="27"/>
        <v>-8.8378969019154135E-4</v>
      </c>
      <c r="I206" s="4">
        <f t="shared" si="27"/>
        <v>-4.0168708576019286E-4</v>
      </c>
      <c r="J206" s="4">
        <f t="shared" si="27"/>
        <v>-5.722460658082975E-4</v>
      </c>
      <c r="K206" s="4">
        <f t="shared" si="27"/>
        <v>0</v>
      </c>
      <c r="L206" s="4">
        <f t="shared" si="27"/>
        <v>-2.5524375778868819E-4</v>
      </c>
      <c r="M206" s="4">
        <f t="shared" si="27"/>
        <v>-4.5108259823576583E-4</v>
      </c>
      <c r="N206" s="4">
        <f t="shared" si="27"/>
        <v>-1.9067796610169492E-3</v>
      </c>
      <c r="O206" s="4">
        <f t="shared" si="27"/>
        <v>-1.3996018910176662E-3</v>
      </c>
      <c r="P206" s="4">
        <f t="shared" si="27"/>
        <v>-4.0118349129933308E-4</v>
      </c>
      <c r="Q206" s="4">
        <f t="shared" si="27"/>
        <v>-4.7129391602399316E-4</v>
      </c>
      <c r="R206" s="4">
        <f t="shared" si="27"/>
        <v>-9.9280218416480524E-4</v>
      </c>
      <c r="S206" s="4">
        <f t="shared" si="27"/>
        <v>-7.666098807495742E-4</v>
      </c>
      <c r="T206" s="4">
        <f t="shared" si="27"/>
        <v>-3.4036759700476518E-4</v>
      </c>
      <c r="U206" s="4">
        <f t="shared" si="27"/>
        <v>-2.6784518548279097E-4</v>
      </c>
      <c r="V206" s="4">
        <f t="shared" si="27"/>
        <v>-8.565310492505354E-4</v>
      </c>
      <c r="W206" s="4">
        <f t="shared" si="27"/>
        <v>-3.0679552078539658E-4</v>
      </c>
      <c r="X206" s="4">
        <f t="shared" si="27"/>
        <v>-1.1338115692388199E-3</v>
      </c>
      <c r="Y206" s="4">
        <f t="shared" si="27"/>
        <v>-8.4010081209745166E-4</v>
      </c>
      <c r="Z206" s="4">
        <f t="shared" si="27"/>
        <v>-2.0018302447952411E-4</v>
      </c>
      <c r="AA206" s="4">
        <f t="shared" si="27"/>
        <v>-3.7797290225039253E-4</v>
      </c>
      <c r="AB206" s="4">
        <f t="shared" si="27"/>
        <v>-2.0945698277216316E-4</v>
      </c>
      <c r="AC206" s="4">
        <f t="shared" si="27"/>
        <v>-2.5163563160543538E-4</v>
      </c>
      <c r="AD206" s="4">
        <f t="shared" si="27"/>
        <v>-5.0341603739661989E-4</v>
      </c>
      <c r="AE206" s="4">
        <f t="shared" si="27"/>
        <v>-2.0082337584094789E-4</v>
      </c>
      <c r="AF206" s="4">
        <f t="shared" ref="AF206:AT206" si="28">AF156-AF100</f>
        <v>-1.4156285390713478E-4</v>
      </c>
      <c r="AG206" s="4">
        <f t="shared" si="28"/>
        <v>-5.8998500454780106E-4</v>
      </c>
      <c r="AH206" s="4">
        <f t="shared" si="28"/>
        <v>-7.5770331705674356E-3</v>
      </c>
      <c r="AI206" s="4">
        <f t="shared" si="28"/>
        <v>-2.13857998289136E-4</v>
      </c>
      <c r="AJ206" s="4">
        <f t="shared" si="28"/>
        <v>-2.9263296510351888E-4</v>
      </c>
      <c r="AK206" s="4">
        <f t="shared" si="28"/>
        <v>-6.9621398833145359E-5</v>
      </c>
      <c r="AL206" s="4">
        <f t="shared" si="28"/>
        <v>-8.3515675892365001E-5</v>
      </c>
      <c r="AM206" s="4">
        <f t="shared" si="28"/>
        <v>-6.4566115702479341E-4</v>
      </c>
      <c r="AN206" s="4">
        <f t="shared" si="28"/>
        <v>-7.056167090036692E-4</v>
      </c>
      <c r="AO206" s="4">
        <f t="shared" si="28"/>
        <v>-4.1117575707736272E-4</v>
      </c>
      <c r="AP206" s="4">
        <f t="shared" si="28"/>
        <v>-8.328170544682665E-4</v>
      </c>
      <c r="AQ206" s="4">
        <f t="shared" si="28"/>
        <v>-6.2141392381465294E-4</v>
      </c>
      <c r="AR206" s="4">
        <f t="shared" si="28"/>
        <v>0.98529127153086893</v>
      </c>
      <c r="AS206" s="4">
        <f t="shared" si="28"/>
        <v>-1.6025641025641025E-3</v>
      </c>
      <c r="AT206" s="12">
        <f t="shared" si="28"/>
        <v>0</v>
      </c>
    </row>
    <row r="207" spans="1:46" x14ac:dyDescent="0.25">
      <c r="A207" s="18" t="s">
        <v>89</v>
      </c>
      <c r="B207" s="22">
        <f t="shared" ref="B207:AT208" si="29">B157-B101</f>
        <v>-4.2996163786719924E-5</v>
      </c>
      <c r="C207" s="4">
        <f t="shared" si="29"/>
        <v>-5.205960825144791E-4</v>
      </c>
      <c r="D207" s="4">
        <f t="shared" si="29"/>
        <v>0</v>
      </c>
      <c r="E207" s="4">
        <f t="shared" si="29"/>
        <v>-9.0592531778161539E-4</v>
      </c>
      <c r="F207" s="4">
        <f t="shared" si="29"/>
        <v>-6.1447708000491577E-4</v>
      </c>
      <c r="G207" s="4">
        <f t="shared" si="29"/>
        <v>-5.3663220923007402E-4</v>
      </c>
      <c r="H207" s="4">
        <f t="shared" si="29"/>
        <v>-1.3176500835582979E-3</v>
      </c>
      <c r="I207" s="4">
        <f t="shared" si="29"/>
        <v>-8.0337417152038571E-4</v>
      </c>
      <c r="J207" s="4">
        <f t="shared" si="29"/>
        <v>-8.5836909871244641E-4</v>
      </c>
      <c r="K207" s="4">
        <f t="shared" si="29"/>
        <v>0</v>
      </c>
      <c r="L207" s="4">
        <f t="shared" si="29"/>
        <v>-4.6544449949701967E-4</v>
      </c>
      <c r="M207" s="4">
        <f t="shared" si="29"/>
        <v>-7.5180433039294305E-4</v>
      </c>
      <c r="N207" s="4">
        <f t="shared" si="29"/>
        <v>-3.3898305084745766E-3</v>
      </c>
      <c r="O207" s="4">
        <f t="shared" si="29"/>
        <v>-3.732271709380443E-3</v>
      </c>
      <c r="P207" s="4">
        <f t="shared" si="29"/>
        <v>-7.5221904618624942E-4</v>
      </c>
      <c r="Q207" s="4">
        <f t="shared" si="29"/>
        <v>-9.4258783204798633E-4</v>
      </c>
      <c r="R207" s="4">
        <f t="shared" si="29"/>
        <v>-1.116902457185406E-3</v>
      </c>
      <c r="S207" s="4">
        <f t="shared" si="29"/>
        <v>-1.3912549687677457E-3</v>
      </c>
      <c r="T207" s="4">
        <f t="shared" si="29"/>
        <v>-1.0211027910142954E-3</v>
      </c>
      <c r="U207" s="4">
        <f t="shared" si="29"/>
        <v>-3.7944734610062054E-4</v>
      </c>
      <c r="V207" s="4">
        <f t="shared" si="29"/>
        <v>-1.2847965738758029E-3</v>
      </c>
      <c r="W207" s="4">
        <f t="shared" si="29"/>
        <v>-5.3689216137444394E-4</v>
      </c>
      <c r="X207" s="4">
        <f t="shared" si="29"/>
        <v>-2.9435492662930902E-3</v>
      </c>
      <c r="Y207" s="4">
        <f t="shared" si="29"/>
        <v>-3.3604032483898066E-3</v>
      </c>
      <c r="Z207" s="4">
        <f t="shared" si="29"/>
        <v>-3.0027453671928621E-4</v>
      </c>
      <c r="AA207" s="4">
        <f t="shared" si="29"/>
        <v>-6.033029016688958E-4</v>
      </c>
      <c r="AB207" s="4">
        <f t="shared" si="29"/>
        <v>-1.5709273707912235E-4</v>
      </c>
      <c r="AC207" s="4">
        <f t="shared" si="29"/>
        <v>-1.2581781580271769E-4</v>
      </c>
      <c r="AD207" s="4">
        <f t="shared" si="29"/>
        <v>-2.8766630708378283E-4</v>
      </c>
      <c r="AE207" s="4">
        <f t="shared" si="29"/>
        <v>-1.5061753188071091E-4</v>
      </c>
      <c r="AF207" s="4">
        <f t="shared" si="29"/>
        <v>-2.8312570781426955E-4</v>
      </c>
      <c r="AG207" s="4">
        <f t="shared" si="29"/>
        <v>-6.883158386391012E-4</v>
      </c>
      <c r="AH207" s="4">
        <f t="shared" si="29"/>
        <v>-4.8829769321434586E-3</v>
      </c>
      <c r="AI207" s="4">
        <f t="shared" si="29"/>
        <v>-2.4950099800399199E-4</v>
      </c>
      <c r="AJ207" s="4">
        <f t="shared" si="29"/>
        <v>-7.3158241275879724E-4</v>
      </c>
      <c r="AK207" s="4">
        <f t="shared" si="29"/>
        <v>-5.5697119066516289E-5</v>
      </c>
      <c r="AL207" s="4">
        <f t="shared" si="29"/>
        <v>-2.0043762214167599E-4</v>
      </c>
      <c r="AM207" s="4">
        <f t="shared" si="29"/>
        <v>-7.7479338842975209E-4</v>
      </c>
      <c r="AN207" s="4">
        <f t="shared" si="29"/>
        <v>-7.99698936870825E-4</v>
      </c>
      <c r="AO207" s="4">
        <f t="shared" si="29"/>
        <v>-4.7285212063896719E-4</v>
      </c>
      <c r="AP207" s="4">
        <f t="shared" si="29"/>
        <v>-6.0937833253775606E-4</v>
      </c>
      <c r="AQ207" s="4">
        <f t="shared" si="29"/>
        <v>-1.2842554425502829E-3</v>
      </c>
      <c r="AR207" s="4">
        <f t="shared" si="29"/>
        <v>-3.2901103154635179E-3</v>
      </c>
      <c r="AS207" s="4">
        <f t="shared" si="29"/>
        <v>0.99492521367521369</v>
      </c>
      <c r="AT207" s="12">
        <f t="shared" si="29"/>
        <v>0</v>
      </c>
    </row>
    <row r="208" spans="1:46" ht="13" thickBot="1" x14ac:dyDescent="0.3">
      <c r="A208" s="18" t="s">
        <v>90</v>
      </c>
      <c r="B208" s="24">
        <f t="shared" si="29"/>
        <v>0</v>
      </c>
      <c r="C208" s="25">
        <f t="shared" si="29"/>
        <v>0</v>
      </c>
      <c r="D208" s="25">
        <f t="shared" si="29"/>
        <v>0</v>
      </c>
      <c r="E208" s="25">
        <f t="shared" si="29"/>
        <v>0</v>
      </c>
      <c r="F208" s="25">
        <f t="shared" si="29"/>
        <v>0</v>
      </c>
      <c r="G208" s="25">
        <f t="shared" si="29"/>
        <v>0</v>
      </c>
      <c r="H208" s="25">
        <f t="shared" si="29"/>
        <v>0</v>
      </c>
      <c r="I208" s="25">
        <f t="shared" si="29"/>
        <v>0</v>
      </c>
      <c r="J208" s="25">
        <f t="shared" si="29"/>
        <v>0</v>
      </c>
      <c r="K208" s="25">
        <f t="shared" si="29"/>
        <v>0</v>
      </c>
      <c r="L208" s="25">
        <f t="shared" si="29"/>
        <v>0</v>
      </c>
      <c r="M208" s="25">
        <f t="shared" si="29"/>
        <v>0</v>
      </c>
      <c r="N208" s="25">
        <f t="shared" si="29"/>
        <v>0</v>
      </c>
      <c r="O208" s="25">
        <f t="shared" si="29"/>
        <v>0</v>
      </c>
      <c r="P208" s="25">
        <f t="shared" si="29"/>
        <v>0</v>
      </c>
      <c r="Q208" s="25">
        <f t="shared" si="29"/>
        <v>0</v>
      </c>
      <c r="R208" s="25">
        <f t="shared" si="29"/>
        <v>0</v>
      </c>
      <c r="S208" s="25">
        <f t="shared" si="29"/>
        <v>0</v>
      </c>
      <c r="T208" s="25">
        <f t="shared" si="29"/>
        <v>0</v>
      </c>
      <c r="U208" s="25">
        <f t="shared" si="29"/>
        <v>0</v>
      </c>
      <c r="V208" s="25">
        <f t="shared" si="29"/>
        <v>0</v>
      </c>
      <c r="W208" s="25">
        <f t="shared" si="29"/>
        <v>0</v>
      </c>
      <c r="X208" s="25">
        <f t="shared" si="29"/>
        <v>0</v>
      </c>
      <c r="Y208" s="25">
        <f t="shared" si="29"/>
        <v>0</v>
      </c>
      <c r="Z208" s="25">
        <f t="shared" si="29"/>
        <v>0</v>
      </c>
      <c r="AA208" s="25">
        <f t="shared" si="29"/>
        <v>0</v>
      </c>
      <c r="AB208" s="25">
        <f t="shared" si="29"/>
        <v>0</v>
      </c>
      <c r="AC208" s="25">
        <f t="shared" si="29"/>
        <v>0</v>
      </c>
      <c r="AD208" s="25">
        <f t="shared" si="29"/>
        <v>0</v>
      </c>
      <c r="AE208" s="25">
        <f t="shared" si="29"/>
        <v>0</v>
      </c>
      <c r="AF208" s="25">
        <f t="shared" si="29"/>
        <v>0</v>
      </c>
      <c r="AG208" s="25">
        <f t="shared" si="29"/>
        <v>0</v>
      </c>
      <c r="AH208" s="25">
        <f t="shared" si="29"/>
        <v>0</v>
      </c>
      <c r="AI208" s="25">
        <f t="shared" si="29"/>
        <v>0</v>
      </c>
      <c r="AJ208" s="25">
        <f t="shared" si="29"/>
        <v>0</v>
      </c>
      <c r="AK208" s="25">
        <f t="shared" si="29"/>
        <v>0</v>
      </c>
      <c r="AL208" s="25">
        <f t="shared" si="29"/>
        <v>0</v>
      </c>
      <c r="AM208" s="25">
        <f t="shared" si="29"/>
        <v>0</v>
      </c>
      <c r="AN208" s="25">
        <f t="shared" si="29"/>
        <v>0</v>
      </c>
      <c r="AO208" s="25">
        <f t="shared" si="29"/>
        <v>0</v>
      </c>
      <c r="AP208" s="25">
        <f t="shared" si="29"/>
        <v>0</v>
      </c>
      <c r="AQ208" s="25">
        <f t="shared" si="29"/>
        <v>0</v>
      </c>
      <c r="AR208" s="25">
        <f t="shared" si="29"/>
        <v>0</v>
      </c>
      <c r="AS208" s="25">
        <f t="shared" si="29"/>
        <v>0</v>
      </c>
      <c r="AT208" s="26">
        <f t="shared" si="29"/>
        <v>1</v>
      </c>
    </row>
    <row r="215" spans="1:60" ht="121" thickBot="1" x14ac:dyDescent="0.3">
      <c r="A215" s="28" t="s">
        <v>98</v>
      </c>
      <c r="B215" s="17" t="s">
        <v>1</v>
      </c>
      <c r="C215" s="17" t="s">
        <v>2</v>
      </c>
      <c r="D215" s="17" t="s">
        <v>3</v>
      </c>
      <c r="E215" s="17" t="s">
        <v>4</v>
      </c>
      <c r="F215" s="17" t="s">
        <v>5</v>
      </c>
      <c r="G215" s="17" t="s">
        <v>6</v>
      </c>
      <c r="H215" s="17" t="s">
        <v>7</v>
      </c>
      <c r="I215" s="17" t="s">
        <v>8</v>
      </c>
      <c r="J215" s="17" t="s">
        <v>9</v>
      </c>
      <c r="K215" s="17" t="s">
        <v>10</v>
      </c>
      <c r="L215" s="17" t="s">
        <v>11</v>
      </c>
      <c r="M215" s="17" t="s">
        <v>12</v>
      </c>
      <c r="N215" s="17" t="s">
        <v>13</v>
      </c>
      <c r="O215" s="17" t="s">
        <v>14</v>
      </c>
      <c r="P215" s="17" t="s">
        <v>15</v>
      </c>
      <c r="Q215" s="17" t="s">
        <v>16</v>
      </c>
      <c r="R215" s="17" t="s">
        <v>17</v>
      </c>
      <c r="S215" s="17" t="s">
        <v>18</v>
      </c>
      <c r="T215" s="17" t="s">
        <v>19</v>
      </c>
      <c r="U215" s="17" t="s">
        <v>20</v>
      </c>
      <c r="V215" s="17" t="s">
        <v>21</v>
      </c>
      <c r="W215" s="17" t="s">
        <v>22</v>
      </c>
      <c r="X215" s="17" t="s">
        <v>23</v>
      </c>
      <c r="Y215" s="17" t="s">
        <v>24</v>
      </c>
      <c r="Z215" s="17" t="s">
        <v>25</v>
      </c>
      <c r="AA215" s="17" t="s">
        <v>26</v>
      </c>
      <c r="AB215" s="17" t="s">
        <v>27</v>
      </c>
      <c r="AC215" s="17" t="s">
        <v>28</v>
      </c>
      <c r="AD215" s="17" t="s">
        <v>29</v>
      </c>
      <c r="AE215" s="17" t="s">
        <v>30</v>
      </c>
      <c r="AF215" s="17" t="s">
        <v>31</v>
      </c>
      <c r="AG215" s="17" t="s">
        <v>32</v>
      </c>
      <c r="AH215" s="17" t="s">
        <v>33</v>
      </c>
      <c r="AI215" s="17" t="s">
        <v>34</v>
      </c>
      <c r="AJ215" s="17" t="s">
        <v>35</v>
      </c>
      <c r="AK215" s="17" t="s">
        <v>36</v>
      </c>
      <c r="AL215" s="17" t="s">
        <v>37</v>
      </c>
      <c r="AM215" s="17" t="s">
        <v>38</v>
      </c>
      <c r="AN215" s="17" t="s">
        <v>39</v>
      </c>
      <c r="AO215" s="17" t="s">
        <v>40</v>
      </c>
      <c r="AP215" s="17" t="s">
        <v>41</v>
      </c>
      <c r="AQ215" s="17" t="s">
        <v>42</v>
      </c>
      <c r="AR215" s="17" t="s">
        <v>43</v>
      </c>
      <c r="AS215" s="17" t="s">
        <v>44</v>
      </c>
      <c r="AT215" s="17" t="s">
        <v>45</v>
      </c>
      <c r="AX215" s="38" t="s">
        <v>99</v>
      </c>
      <c r="AY215" s="38" t="s">
        <v>100</v>
      </c>
      <c r="BC215" s="42" t="s">
        <v>101</v>
      </c>
      <c r="BD215" s="42" t="s">
        <v>103</v>
      </c>
      <c r="BG215" s="42" t="s">
        <v>102</v>
      </c>
      <c r="BH215" s="42" t="s">
        <v>104</v>
      </c>
    </row>
    <row r="216" spans="1:60" x14ac:dyDescent="0.25">
      <c r="A216" s="18" t="s">
        <v>46</v>
      </c>
      <c r="B216" s="29">
        <f t="array" ref="B216:AT260">MINVERSE(B164:AT208)</f>
        <v>1.165874347338512</v>
      </c>
      <c r="C216" s="30">
        <v>5.9657446211102199E-3</v>
      </c>
      <c r="D216" s="30">
        <v>7.887817712001104E-4</v>
      </c>
      <c r="E216" s="30">
        <v>4.6551724695682384E-3</v>
      </c>
      <c r="F216" s="30">
        <v>3.7307742188379066E-3</v>
      </c>
      <c r="G216" s="30">
        <v>0.43092579649522428</v>
      </c>
      <c r="H216" s="30">
        <v>2.9186852789491912E-2</v>
      </c>
      <c r="I216" s="30">
        <v>0.16682394833242559</v>
      </c>
      <c r="J216" s="30">
        <v>7.2122182791722195E-2</v>
      </c>
      <c r="K216" s="30">
        <v>3.4404905433201914E-3</v>
      </c>
      <c r="L216" s="30">
        <v>3.4684914353972023E-2</v>
      </c>
      <c r="M216" s="30">
        <v>5.5351597106656748E-2</v>
      </c>
      <c r="N216" s="30">
        <v>3.798063704466053E-2</v>
      </c>
      <c r="O216" s="30">
        <v>9.5606303513019672E-3</v>
      </c>
      <c r="P216" s="30">
        <v>6.6627297119772359E-3</v>
      </c>
      <c r="Q216" s="30">
        <v>1.0333051346960456E-2</v>
      </c>
      <c r="R216" s="30">
        <v>1.0847554412920259E-2</v>
      </c>
      <c r="S216" s="30">
        <v>9.5453821636597956E-3</v>
      </c>
      <c r="T216" s="30">
        <v>1.4060352721671013E-2</v>
      </c>
      <c r="U216" s="30">
        <v>1.0676760906748215E-2</v>
      </c>
      <c r="V216" s="30">
        <v>1.9077622625838602E-2</v>
      </c>
      <c r="W216" s="30">
        <v>2.3292760935511636E-2</v>
      </c>
      <c r="X216" s="30">
        <v>3.0441157363175187E-3</v>
      </c>
      <c r="Y216" s="30">
        <v>2.6839199782723857E-3</v>
      </c>
      <c r="Z216" s="30">
        <v>1.1863320786346861E-2</v>
      </c>
      <c r="AA216" s="30">
        <v>2.1250233867159185E-2</v>
      </c>
      <c r="AB216" s="30">
        <v>5.9086854215513324E-3</v>
      </c>
      <c r="AC216" s="30">
        <v>8.5648875428639259E-3</v>
      </c>
      <c r="AD216" s="30">
        <v>1.1001586645298453E-2</v>
      </c>
      <c r="AE216" s="30">
        <v>5.6713545297290575E-3</v>
      </c>
      <c r="AF216" s="30">
        <v>4.4406936266761328E-3</v>
      </c>
      <c r="AG216" s="30">
        <v>0.11208272102211868</v>
      </c>
      <c r="AH216" s="30">
        <v>2.9309750098756911E-2</v>
      </c>
      <c r="AI216" s="30">
        <v>5.0600013639468836E-3</v>
      </c>
      <c r="AJ216" s="30">
        <v>2.2225991960703956E-3</v>
      </c>
      <c r="AK216" s="30">
        <v>2.964759275362645E-3</v>
      </c>
      <c r="AL216" s="30">
        <v>1.1958693023322545E-3</v>
      </c>
      <c r="AM216" s="30">
        <v>3.2607969098555813E-3</v>
      </c>
      <c r="AN216" s="30">
        <v>4.1543882516435213E-3</v>
      </c>
      <c r="AO216" s="30">
        <v>9.5672934173171974E-3</v>
      </c>
      <c r="AP216" s="30">
        <v>5.3951008898505412E-3</v>
      </c>
      <c r="AQ216" s="30">
        <v>8.2553681105462153E-3</v>
      </c>
      <c r="AR216" s="30">
        <v>1.767418181972185E-2</v>
      </c>
      <c r="AS216" s="30">
        <v>1.7236649481393567E-2</v>
      </c>
      <c r="AT216" s="31">
        <v>0</v>
      </c>
      <c r="AX216" s="39">
        <v>1</v>
      </c>
      <c r="AY216" s="40" cm="1">
        <f t="array" ref="AY216:AY260">MMULT(B216:AT260,AX216:AX260)</f>
        <v>1.1718400919596224</v>
      </c>
      <c r="BC216" s="41">
        <f t="array" ref="BC216:BC260">TRANSPOSE(B265:AT265)</f>
        <v>1.6369260028344397</v>
      </c>
      <c r="BD216">
        <f>BC216/AVERAGE($BC$216:$BC$260)</f>
        <v>0.88899395198867559</v>
      </c>
      <c r="BE216">
        <f>BD21</f>
        <v>0</v>
      </c>
      <c r="BG216" s="41">
        <f>SUM(B216:AT216)</f>
        <v>2.4183963623264231</v>
      </c>
      <c r="BH216">
        <f>BG216/AVERAGE($BG$216:$BG$260)</f>
        <v>1.3134006887891381</v>
      </c>
    </row>
    <row r="217" spans="1:60" x14ac:dyDescent="0.25">
      <c r="A217" s="18" t="s">
        <v>47</v>
      </c>
      <c r="B217" s="32">
        <v>3.7653332408531621E-3</v>
      </c>
      <c r="C217" s="33">
        <v>1.0664177418913896</v>
      </c>
      <c r="D217" s="33">
        <v>2.8539343870304914E-5</v>
      </c>
      <c r="E217" s="33">
        <v>1.0958912341611057E-4</v>
      </c>
      <c r="F217" s="33">
        <v>1.2600811171944236E-4</v>
      </c>
      <c r="G217" s="33">
        <v>1.9833635805381139E-2</v>
      </c>
      <c r="H217" s="33">
        <v>7.5274515346067362E-4</v>
      </c>
      <c r="I217" s="33">
        <v>7.4650779417924015E-4</v>
      </c>
      <c r="J217" s="33">
        <v>5.4579181231402085E-4</v>
      </c>
      <c r="K217" s="33">
        <v>1.2175735642621879E-4</v>
      </c>
      <c r="L217" s="33">
        <v>1.0171738766107258E-3</v>
      </c>
      <c r="M217" s="33">
        <v>2.3744106599762125E-3</v>
      </c>
      <c r="N217" s="33">
        <v>8.925276352277241E-4</v>
      </c>
      <c r="O217" s="33">
        <v>2.4370509795493069E-4</v>
      </c>
      <c r="P217" s="33">
        <v>1.9980188590742066E-4</v>
      </c>
      <c r="Q217" s="33">
        <v>2.8668632526145555E-4</v>
      </c>
      <c r="R217" s="33">
        <v>4.8910491604301572E-4</v>
      </c>
      <c r="S217" s="33">
        <v>7.7618356564080368E-4</v>
      </c>
      <c r="T217" s="33">
        <v>4.2776649218083455E-4</v>
      </c>
      <c r="U217" s="33">
        <v>3.4601402294797979E-4</v>
      </c>
      <c r="V217" s="33">
        <v>3.4463206531413701E-4</v>
      </c>
      <c r="W217" s="33">
        <v>3.2125091088261052E-4</v>
      </c>
      <c r="X217" s="33">
        <v>1.0177850007031223E-4</v>
      </c>
      <c r="Y217" s="33">
        <v>9.2446237815275829E-5</v>
      </c>
      <c r="Z217" s="33">
        <v>2.2714191542434436E-4</v>
      </c>
      <c r="AA217" s="33">
        <v>7.1833310481460365E-4</v>
      </c>
      <c r="AB217" s="33">
        <v>2.1765829972273426E-4</v>
      </c>
      <c r="AC217" s="33">
        <v>4.167790210783494E-4</v>
      </c>
      <c r="AD217" s="33">
        <v>4.7189420011891102E-4</v>
      </c>
      <c r="AE217" s="33">
        <v>2.3752244831539503E-4</v>
      </c>
      <c r="AF217" s="33">
        <v>2.1607368275261381E-4</v>
      </c>
      <c r="AG217" s="33">
        <v>1.1475886398303997E-2</v>
      </c>
      <c r="AH217" s="33">
        <v>1.209607390036315E-3</v>
      </c>
      <c r="AI217" s="33">
        <v>2.5875496661062535E-4</v>
      </c>
      <c r="AJ217" s="33">
        <v>7.4701862415661415E-5</v>
      </c>
      <c r="AK217" s="33">
        <v>1.6485907826506484E-4</v>
      </c>
      <c r="AL217" s="33">
        <v>3.664254963581766E-5</v>
      </c>
      <c r="AM217" s="33">
        <v>9.3635543835990923E-5</v>
      </c>
      <c r="AN217" s="33">
        <v>1.1771998167180742E-4</v>
      </c>
      <c r="AO217" s="33">
        <v>6.8191985419231672E-4</v>
      </c>
      <c r="AP217" s="33">
        <v>2.7321560241579655E-4</v>
      </c>
      <c r="AQ217" s="33">
        <v>4.104918017122983E-4</v>
      </c>
      <c r="AR217" s="33">
        <v>6.0229362643927833E-4</v>
      </c>
      <c r="AS217" s="33">
        <v>5.6766092862767996E-4</v>
      </c>
      <c r="AT217" s="34">
        <v>0</v>
      </c>
      <c r="AX217" s="39">
        <v>1</v>
      </c>
      <c r="AY217" s="40">
        <v>1.0701830751322428</v>
      </c>
      <c r="BC217" s="41">
        <v>1.5109699951146192</v>
      </c>
      <c r="BD217">
        <f t="shared" ref="BD217:BD260" si="30">BC217/AVERAGE($BC$216:$BC$260)</f>
        <v>0.82058882623120755</v>
      </c>
      <c r="BG217" s="41">
        <f t="shared" ref="BG217:BG260" si="31">SUM(B217:AT217)</f>
        <v>1.1188339240812324</v>
      </c>
      <c r="BH217">
        <f t="shared" ref="BH217:BH260" si="32">BG217/AVERAGE($BG$216:$BG$260)</f>
        <v>0.60762465136829469</v>
      </c>
    </row>
    <row r="218" spans="1:60" x14ac:dyDescent="0.25">
      <c r="A218" s="18" t="s">
        <v>48</v>
      </c>
      <c r="B218" s="32">
        <v>2.0898215161213311E-2</v>
      </c>
      <c r="C218" s="33">
        <v>5.561900921734423E-2</v>
      </c>
      <c r="D218" s="33">
        <v>1.0139901310207105</v>
      </c>
      <c r="E218" s="33">
        <v>3.6513801954041039E-2</v>
      </c>
      <c r="F218" s="33">
        <v>2.062456447454972E-2</v>
      </c>
      <c r="G218" s="33">
        <v>2.4565941933621167E-2</v>
      </c>
      <c r="H218" s="33">
        <v>2.1419720372224886E-2</v>
      </c>
      <c r="I218" s="33">
        <v>1.8965622687027804E-2</v>
      </c>
      <c r="J218" s="33">
        <v>2.5295428325166586E-2</v>
      </c>
      <c r="K218" s="33">
        <v>0.69160986004127234</v>
      </c>
      <c r="L218" s="33">
        <v>3.0403897601580389E-2</v>
      </c>
      <c r="M218" s="33">
        <v>1.7172562937426271E-2</v>
      </c>
      <c r="N218" s="33">
        <v>4.343409618127296E-2</v>
      </c>
      <c r="O218" s="33">
        <v>6.6286080371755693E-2</v>
      </c>
      <c r="P218" s="33">
        <v>3.2511063583296432E-2</v>
      </c>
      <c r="Q218" s="33">
        <v>3.0119160793320398E-2</v>
      </c>
      <c r="R218" s="33">
        <v>2.8981973772215879E-2</v>
      </c>
      <c r="S218" s="33">
        <v>2.2438791816258907E-2</v>
      </c>
      <c r="T218" s="33">
        <v>2.9556056690300019E-2</v>
      </c>
      <c r="U218" s="33">
        <v>2.8121235196301463E-2</v>
      </c>
      <c r="V218" s="33">
        <v>1.1805965622277363E-2</v>
      </c>
      <c r="W218" s="33">
        <v>2.0331512864276122E-2</v>
      </c>
      <c r="X218" s="33">
        <v>0.15907855252346309</v>
      </c>
      <c r="Y218" s="33">
        <v>0.12477909289562057</v>
      </c>
      <c r="Z218" s="33">
        <v>3.5085295055954105E-2</v>
      </c>
      <c r="AA218" s="33">
        <v>2.3540598650373425E-2</v>
      </c>
      <c r="AB218" s="33">
        <v>9.7936844552705349E-2</v>
      </c>
      <c r="AC218" s="33">
        <v>0.11180370576498615</v>
      </c>
      <c r="AD218" s="33">
        <v>0.20191020096043458</v>
      </c>
      <c r="AE218" s="33">
        <v>3.9369279374615603E-2</v>
      </c>
      <c r="AF218" s="33">
        <v>3.539363073159963E-2</v>
      </c>
      <c r="AG218" s="33">
        <v>1.5889632495923834E-2</v>
      </c>
      <c r="AH218" s="33">
        <v>4.0230569522579279E-2</v>
      </c>
      <c r="AI218" s="33">
        <v>1.9118409276390778E-2</v>
      </c>
      <c r="AJ218" s="33">
        <v>2.6856666502813507E-3</v>
      </c>
      <c r="AK218" s="33">
        <v>4.3719037093454356E-3</v>
      </c>
      <c r="AL218" s="33">
        <v>1.8710774799861679E-3</v>
      </c>
      <c r="AM218" s="33">
        <v>3.4385850645640079E-3</v>
      </c>
      <c r="AN218" s="33">
        <v>6.748298025563604E-3</v>
      </c>
      <c r="AO218" s="33">
        <v>2.53239641750648E-2</v>
      </c>
      <c r="AP218" s="33">
        <v>1.1028639994082903E-2</v>
      </c>
      <c r="AQ218" s="33">
        <v>1.4835600056257215E-2</v>
      </c>
      <c r="AR218" s="33">
        <v>2.2054918835979785E-2</v>
      </c>
      <c r="AS218" s="33">
        <v>2.0170358917968836E-2</v>
      </c>
      <c r="AT218" s="34">
        <v>0</v>
      </c>
      <c r="AX218" s="39">
        <v>0</v>
      </c>
      <c r="AY218" s="40">
        <v>7.6517224378557541E-2</v>
      </c>
      <c r="BC218" s="41">
        <v>1.3071510090680445</v>
      </c>
      <c r="BD218">
        <f t="shared" si="30"/>
        <v>0.70989729492061637</v>
      </c>
      <c r="BG218" s="41">
        <f t="shared" si="31"/>
        <v>3.3073295173311945</v>
      </c>
      <c r="BH218">
        <f t="shared" si="32"/>
        <v>1.7961691200762431</v>
      </c>
    </row>
    <row r="219" spans="1:60" x14ac:dyDescent="0.25">
      <c r="A219" s="18" t="s">
        <v>49</v>
      </c>
      <c r="B219" s="32">
        <v>1.4679472493308315E-2</v>
      </c>
      <c r="C219" s="33">
        <v>4.0161125306122075E-3</v>
      </c>
      <c r="D219" s="33">
        <v>1.665941210414742E-3</v>
      </c>
      <c r="E219" s="33">
        <v>1.0088356813579396</v>
      </c>
      <c r="F219" s="33">
        <v>9.3501228339866582E-3</v>
      </c>
      <c r="G219" s="33">
        <v>1.3829154688426694E-2</v>
      </c>
      <c r="H219" s="33">
        <v>2.5257802280754433E-2</v>
      </c>
      <c r="I219" s="33">
        <v>1.4067112370480033E-2</v>
      </c>
      <c r="J219" s="33">
        <v>3.6849549708909794E-2</v>
      </c>
      <c r="K219" s="33">
        <v>1.9680265391847931E-2</v>
      </c>
      <c r="L219" s="33">
        <v>0.30258690757833001</v>
      </c>
      <c r="M219" s="33">
        <v>8.9388067269662058E-2</v>
      </c>
      <c r="N219" s="33">
        <v>0.14702532413450725</v>
      </c>
      <c r="O219" s="33">
        <v>4.871651113218918E-2</v>
      </c>
      <c r="P219" s="33">
        <v>3.3572318424836753E-2</v>
      </c>
      <c r="Q219" s="33">
        <v>5.5098479441842617E-2</v>
      </c>
      <c r="R219" s="33">
        <v>2.3206423382715766E-2</v>
      </c>
      <c r="S219" s="33">
        <v>4.6798496815700981E-2</v>
      </c>
      <c r="T219" s="33">
        <v>4.089466303656876E-2</v>
      </c>
      <c r="U219" s="33">
        <v>2.0967411381839603E-2</v>
      </c>
      <c r="V219" s="33">
        <v>1.1742582488465447E-2</v>
      </c>
      <c r="W219" s="33">
        <v>2.3791639452837656E-2</v>
      </c>
      <c r="X219" s="33">
        <v>6.8909062377198954E-3</v>
      </c>
      <c r="Y219" s="33">
        <v>6.8949357477578917E-3</v>
      </c>
      <c r="Z219" s="33">
        <v>3.7163930854118274E-2</v>
      </c>
      <c r="AA219" s="33">
        <v>1.0296325704349428E-2</v>
      </c>
      <c r="AB219" s="33">
        <v>7.2973526147237303E-3</v>
      </c>
      <c r="AC219" s="33">
        <v>7.6002266854341138E-3</v>
      </c>
      <c r="AD219" s="33">
        <v>1.2667423980827187E-2</v>
      </c>
      <c r="AE219" s="33">
        <v>5.1173154728591562E-3</v>
      </c>
      <c r="AF219" s="33">
        <v>4.267118557922475E-3</v>
      </c>
      <c r="AG219" s="33">
        <v>5.963285587343106E-3</v>
      </c>
      <c r="AH219" s="33">
        <v>2.3476992531252152E-2</v>
      </c>
      <c r="AI219" s="33">
        <v>3.9865022491492952E-3</v>
      </c>
      <c r="AJ219" s="33">
        <v>1.6213990090919997E-3</v>
      </c>
      <c r="AK219" s="33">
        <v>1.715931468923809E-3</v>
      </c>
      <c r="AL219" s="33">
        <v>9.7800225024615773E-4</v>
      </c>
      <c r="AM219" s="33">
        <v>2.5947823088205636E-3</v>
      </c>
      <c r="AN219" s="33">
        <v>3.1148427047616089E-3</v>
      </c>
      <c r="AO219" s="33">
        <v>7.6702601397737073E-3</v>
      </c>
      <c r="AP219" s="33">
        <v>3.1571395265533103E-3</v>
      </c>
      <c r="AQ219" s="33">
        <v>6.5143369891715614E-3</v>
      </c>
      <c r="AR219" s="33">
        <v>8.8013408550380711E-3</v>
      </c>
      <c r="AS219" s="33">
        <v>1.1607513456453267E-2</v>
      </c>
      <c r="AT219" s="34">
        <v>0</v>
      </c>
      <c r="AX219" s="39">
        <v>0</v>
      </c>
      <c r="AY219" s="40">
        <v>1.8695585023920522E-2</v>
      </c>
      <c r="BC219" s="41">
        <v>1.5497895946974591</v>
      </c>
      <c r="BD219">
        <f t="shared" si="30"/>
        <v>0.84167126318193708</v>
      </c>
      <c r="BG219" s="41">
        <f t="shared" si="31"/>
        <v>2.1714179043384667</v>
      </c>
      <c r="BH219">
        <f t="shared" si="32"/>
        <v>1.179269790359645</v>
      </c>
    </row>
    <row r="220" spans="1:60" x14ac:dyDescent="0.25">
      <c r="A220" s="18" t="s">
        <v>50</v>
      </c>
      <c r="B220" s="32">
        <v>7.4714540187578752E-3</v>
      </c>
      <c r="C220" s="33">
        <v>1.6531375114811134E-2</v>
      </c>
      <c r="D220" s="33">
        <v>0.17555854216648525</v>
      </c>
      <c r="E220" s="33">
        <v>0.10768657485236012</v>
      </c>
      <c r="F220" s="33">
        <v>1.2249857042354158</v>
      </c>
      <c r="G220" s="33">
        <v>8.482685236210227E-3</v>
      </c>
      <c r="H220" s="33">
        <v>8.4320021303495984E-3</v>
      </c>
      <c r="I220" s="33">
        <v>6.7071671590996952E-3</v>
      </c>
      <c r="J220" s="33">
        <v>1.4288692200263837E-2</v>
      </c>
      <c r="K220" s="33">
        <v>0.16974350154547571</v>
      </c>
      <c r="L220" s="33">
        <v>4.0306018389152931E-2</v>
      </c>
      <c r="M220" s="33">
        <v>1.3551042109607151E-2</v>
      </c>
      <c r="N220" s="33">
        <v>2.7698583260374759E-2</v>
      </c>
      <c r="O220" s="33">
        <v>4.5180768466577356E-2</v>
      </c>
      <c r="P220" s="33">
        <v>2.7638416050936185E-2</v>
      </c>
      <c r="Q220" s="33">
        <v>1.8172051277455508E-2</v>
      </c>
      <c r="R220" s="33">
        <v>1.0788319716021726E-2</v>
      </c>
      <c r="S220" s="33">
        <v>1.2738192266995723E-2</v>
      </c>
      <c r="T220" s="33">
        <v>1.4825825205082145E-2</v>
      </c>
      <c r="U220" s="33">
        <v>1.0663876973270491E-2</v>
      </c>
      <c r="V220" s="33">
        <v>5.5623860878950765E-3</v>
      </c>
      <c r="W220" s="33">
        <v>8.6413576480023624E-3</v>
      </c>
      <c r="X220" s="33">
        <v>3.5649263568376582E-2</v>
      </c>
      <c r="Y220" s="33">
        <v>2.7943130754684863E-2</v>
      </c>
      <c r="Z220" s="33">
        <v>3.8176511906397932E-2</v>
      </c>
      <c r="AA220" s="33">
        <v>7.1662948275733121E-3</v>
      </c>
      <c r="AB220" s="33">
        <v>2.6124028958576153E-2</v>
      </c>
      <c r="AC220" s="33">
        <v>2.7903284812826241E-2</v>
      </c>
      <c r="AD220" s="33">
        <v>5.0293195402580482E-2</v>
      </c>
      <c r="AE220" s="33">
        <v>1.0546204438961907E-2</v>
      </c>
      <c r="AF220" s="33">
        <v>9.1356585230894134E-3</v>
      </c>
      <c r="AG220" s="33">
        <v>4.7577272112438625E-3</v>
      </c>
      <c r="AH220" s="33">
        <v>1.2941445024448581E-2</v>
      </c>
      <c r="AI220" s="33">
        <v>5.1477131834805267E-3</v>
      </c>
      <c r="AJ220" s="33">
        <v>9.2092515751091366E-4</v>
      </c>
      <c r="AK220" s="33">
        <v>1.4739812793026709E-3</v>
      </c>
      <c r="AL220" s="33">
        <v>8.1625458803706607E-4</v>
      </c>
      <c r="AM220" s="33">
        <v>1.8947620555460187E-3</v>
      </c>
      <c r="AN220" s="33">
        <v>2.2684930033735431E-3</v>
      </c>
      <c r="AO220" s="33">
        <v>7.3695891667520065E-3</v>
      </c>
      <c r="AP220" s="33">
        <v>3.2017926047674867E-3</v>
      </c>
      <c r="AQ220" s="33">
        <v>4.4542899936971638E-3</v>
      </c>
      <c r="AR220" s="33">
        <v>6.5326314479745677E-3</v>
      </c>
      <c r="AS220" s="33">
        <v>6.3925745581718801E-3</v>
      </c>
      <c r="AT220" s="34">
        <v>0</v>
      </c>
      <c r="AX220" s="39">
        <v>0</v>
      </c>
      <c r="AY220" s="40">
        <v>2.400282913356901E-2</v>
      </c>
      <c r="BC220" s="41">
        <v>1.6368879339406139</v>
      </c>
      <c r="BD220">
        <f t="shared" si="30"/>
        <v>0.8889732772505925</v>
      </c>
      <c r="BG220" s="41">
        <f t="shared" si="31"/>
        <v>2.2667642885779746</v>
      </c>
      <c r="BH220">
        <f t="shared" si="32"/>
        <v>1.2310512140685601</v>
      </c>
    </row>
    <row r="221" spans="1:60" x14ac:dyDescent="0.25">
      <c r="A221" s="18" t="s">
        <v>51</v>
      </c>
      <c r="B221" s="32">
        <v>0.11166611857963403</v>
      </c>
      <c r="C221" s="33">
        <v>9.3650535369865975E-3</v>
      </c>
      <c r="D221" s="33">
        <v>7.9485938792814975E-4</v>
      </c>
      <c r="E221" s="33">
        <v>2.9547733736389808E-3</v>
      </c>
      <c r="F221" s="33">
        <v>3.9083102990471246E-3</v>
      </c>
      <c r="G221" s="33">
        <v>1.1856220704125304</v>
      </c>
      <c r="H221" s="33">
        <v>1.5976771013597912E-2</v>
      </c>
      <c r="I221" s="33">
        <v>2.2543908798344298E-2</v>
      </c>
      <c r="J221" s="33">
        <v>1.5068226439493583E-2</v>
      </c>
      <c r="K221" s="33">
        <v>2.754561433189901E-3</v>
      </c>
      <c r="L221" s="33">
        <v>1.008197094204577E-2</v>
      </c>
      <c r="M221" s="33">
        <v>1.3472434623704519E-2</v>
      </c>
      <c r="N221" s="33">
        <v>1.8283050555254813E-2</v>
      </c>
      <c r="O221" s="33">
        <v>6.4498565733742946E-3</v>
      </c>
      <c r="P221" s="33">
        <v>5.836487141068959E-3</v>
      </c>
      <c r="Q221" s="33">
        <v>7.8454277241062579E-3</v>
      </c>
      <c r="R221" s="33">
        <v>1.0056245779457953E-2</v>
      </c>
      <c r="S221" s="33">
        <v>7.660333922135977E-3</v>
      </c>
      <c r="T221" s="33">
        <v>1.1019682074261641E-2</v>
      </c>
      <c r="U221" s="33">
        <v>7.9915021618771412E-3</v>
      </c>
      <c r="V221" s="33">
        <v>8.8357857355806195E-3</v>
      </c>
      <c r="W221" s="33">
        <v>8.6068882553956387E-3</v>
      </c>
      <c r="X221" s="33">
        <v>2.7484301605499683E-3</v>
      </c>
      <c r="Y221" s="33">
        <v>2.3954677367772196E-3</v>
      </c>
      <c r="Z221" s="33">
        <v>6.1036582496508725E-3</v>
      </c>
      <c r="AA221" s="33">
        <v>1.4107261284198206E-2</v>
      </c>
      <c r="AB221" s="33">
        <v>6.0256839764459402E-3</v>
      </c>
      <c r="AC221" s="33">
        <v>8.9079149696732196E-3</v>
      </c>
      <c r="AD221" s="33">
        <v>1.3384953385668192E-2</v>
      </c>
      <c r="AE221" s="33">
        <v>6.68049471503495E-3</v>
      </c>
      <c r="AF221" s="33">
        <v>5.2186635628251633E-3</v>
      </c>
      <c r="AG221" s="33">
        <v>0.20195258606693109</v>
      </c>
      <c r="AH221" s="33">
        <v>3.1653545684333956E-2</v>
      </c>
      <c r="AI221" s="33">
        <v>6.4596954881017176E-3</v>
      </c>
      <c r="AJ221" s="33">
        <v>2.2333177914282674E-3</v>
      </c>
      <c r="AK221" s="33">
        <v>4.3674921057747073E-3</v>
      </c>
      <c r="AL221" s="33">
        <v>1.0749205188118557E-3</v>
      </c>
      <c r="AM221" s="33">
        <v>2.8503070497178551E-3</v>
      </c>
      <c r="AN221" s="33">
        <v>3.2496623556358189E-3</v>
      </c>
      <c r="AO221" s="33">
        <v>1.3734256434836594E-2</v>
      </c>
      <c r="AP221" s="33">
        <v>6.1042858394233651E-3</v>
      </c>
      <c r="AQ221" s="33">
        <v>8.0943502913888334E-3</v>
      </c>
      <c r="AR221" s="33">
        <v>1.5033936365780931E-2</v>
      </c>
      <c r="AS221" s="33">
        <v>1.5391632357814416E-2</v>
      </c>
      <c r="AT221" s="34">
        <v>0</v>
      </c>
      <c r="AX221" s="39">
        <v>0</v>
      </c>
      <c r="AY221" s="40">
        <v>0.12103117211662062</v>
      </c>
      <c r="BC221" s="41">
        <v>2.1715806367370099</v>
      </c>
      <c r="BD221">
        <f t="shared" si="30"/>
        <v>1.179358168281339</v>
      </c>
      <c r="BG221" s="41">
        <f t="shared" si="31"/>
        <v>1.8645668351534579</v>
      </c>
      <c r="BH221">
        <f t="shared" si="32"/>
        <v>1.012622828802201</v>
      </c>
    </row>
    <row r="222" spans="1:60" x14ac:dyDescent="0.25">
      <c r="A222" s="18" t="s">
        <v>52</v>
      </c>
      <c r="B222" s="32">
        <v>2.6706301864795013E-3</v>
      </c>
      <c r="C222" s="33">
        <v>1.9257751511734518E-3</v>
      </c>
      <c r="D222" s="33">
        <v>2.3326871155895541E-4</v>
      </c>
      <c r="E222" s="33">
        <v>1.2378641443941353E-3</v>
      </c>
      <c r="F222" s="33">
        <v>1.299109620600413E-3</v>
      </c>
      <c r="G222" s="33">
        <v>2.7578402903421671E-3</v>
      </c>
      <c r="H222" s="33">
        <v>1.421946864849287</v>
      </c>
      <c r="I222" s="33">
        <v>1.06804362267075E-2</v>
      </c>
      <c r="J222" s="33">
        <v>1.1638487503248574E-2</v>
      </c>
      <c r="K222" s="33">
        <v>7.9664176152133054E-4</v>
      </c>
      <c r="L222" s="33">
        <v>2.9356846109879352E-3</v>
      </c>
      <c r="M222" s="33">
        <v>3.1814155686427357E-3</v>
      </c>
      <c r="N222" s="33">
        <v>1.8898816914236942E-2</v>
      </c>
      <c r="O222" s="33">
        <v>2.168116664178728E-3</v>
      </c>
      <c r="P222" s="33">
        <v>1.4849899058640673E-3</v>
      </c>
      <c r="Q222" s="33">
        <v>2.8655965162720097E-3</v>
      </c>
      <c r="R222" s="33">
        <v>5.4136579356743484E-3</v>
      </c>
      <c r="S222" s="33">
        <v>3.6728624265935234E-3</v>
      </c>
      <c r="T222" s="33">
        <v>9.5628041518803445E-3</v>
      </c>
      <c r="U222" s="33">
        <v>4.1993404268853536E-3</v>
      </c>
      <c r="V222" s="33">
        <v>1.9845223141495305E-3</v>
      </c>
      <c r="W222" s="33">
        <v>3.7548243806653205E-2</v>
      </c>
      <c r="X222" s="33">
        <v>7.4359473918503771E-4</v>
      </c>
      <c r="Y222" s="33">
        <v>7.6375887370268162E-4</v>
      </c>
      <c r="Z222" s="33">
        <v>2.2368192663921186E-3</v>
      </c>
      <c r="AA222" s="33">
        <v>2.389687644361278E-3</v>
      </c>
      <c r="AB222" s="33">
        <v>1.5571566078421708E-3</v>
      </c>
      <c r="AC222" s="33">
        <v>1.8073737640848721E-3</v>
      </c>
      <c r="AD222" s="33">
        <v>2.9022728281316783E-3</v>
      </c>
      <c r="AE222" s="33">
        <v>1.3735960073463134E-3</v>
      </c>
      <c r="AF222" s="33">
        <v>9.2157924522399005E-4</v>
      </c>
      <c r="AG222" s="33">
        <v>2.4577999539217394E-3</v>
      </c>
      <c r="AH222" s="33">
        <v>7.8989647802968459E-3</v>
      </c>
      <c r="AI222" s="33">
        <v>9.2071539226316315E-4</v>
      </c>
      <c r="AJ222" s="33">
        <v>7.7031505646387062E-4</v>
      </c>
      <c r="AK222" s="33">
        <v>4.0418066126451366E-4</v>
      </c>
      <c r="AL222" s="33">
        <v>3.2603699884535748E-4</v>
      </c>
      <c r="AM222" s="33">
        <v>1.1435062884147644E-3</v>
      </c>
      <c r="AN222" s="33">
        <v>1.7173497657998447E-3</v>
      </c>
      <c r="AO222" s="33">
        <v>5.4696398132638635E-3</v>
      </c>
      <c r="AP222" s="33">
        <v>1.219676818546537E-3</v>
      </c>
      <c r="AQ222" s="33">
        <v>1.6547477444529628E-3</v>
      </c>
      <c r="AR222" s="33">
        <v>2.5753676841755854E-3</v>
      </c>
      <c r="AS222" s="33">
        <v>3.2905503464043359E-3</v>
      </c>
      <c r="AT222" s="34">
        <v>0</v>
      </c>
      <c r="AX222" s="39">
        <v>0</v>
      </c>
      <c r="AY222" s="40">
        <v>4.5964053376529529E-3</v>
      </c>
      <c r="BC222" s="41">
        <v>2.2846590052112923</v>
      </c>
      <c r="BD222">
        <f t="shared" si="30"/>
        <v>1.2407696099105374</v>
      </c>
      <c r="BG222" s="41">
        <f t="shared" si="31"/>
        <v>1.5936476599677152</v>
      </c>
      <c r="BH222">
        <f t="shared" si="32"/>
        <v>0.86549002756326487</v>
      </c>
    </row>
    <row r="223" spans="1:60" x14ac:dyDescent="0.25">
      <c r="A223" s="18" t="s">
        <v>53</v>
      </c>
      <c r="B223" s="32">
        <v>1.5294349808692798E-3</v>
      </c>
      <c r="C223" s="33">
        <v>1.0961022100527107E-3</v>
      </c>
      <c r="D223" s="33">
        <v>4.1244187522672176E-4</v>
      </c>
      <c r="E223" s="33">
        <v>1.3839905163381123E-3</v>
      </c>
      <c r="F223" s="33">
        <v>2.4644650742162095E-3</v>
      </c>
      <c r="G223" s="33">
        <v>2.5050408577489136E-3</v>
      </c>
      <c r="H223" s="33">
        <v>7.2972381223387651E-3</v>
      </c>
      <c r="I223" s="33">
        <v>1.3600492159844244</v>
      </c>
      <c r="J223" s="33">
        <v>1.6997018049361032E-2</v>
      </c>
      <c r="K223" s="33">
        <v>1.1042221155131791E-3</v>
      </c>
      <c r="L223" s="33">
        <v>1.6648948014537279E-3</v>
      </c>
      <c r="M223" s="33">
        <v>1.6331027503632559E-3</v>
      </c>
      <c r="N223" s="33">
        <v>6.2388567815443554E-3</v>
      </c>
      <c r="O223" s="33">
        <v>5.4566245282444935E-3</v>
      </c>
      <c r="P223" s="33">
        <v>2.5572069628568791E-3</v>
      </c>
      <c r="Q223" s="33">
        <v>1.7414204367567333E-2</v>
      </c>
      <c r="R223" s="33">
        <v>3.9952687200990912E-3</v>
      </c>
      <c r="S223" s="33">
        <v>5.6072328818187311E-3</v>
      </c>
      <c r="T223" s="33">
        <v>6.6698440218076012E-3</v>
      </c>
      <c r="U223" s="33">
        <v>6.3707354939589967E-3</v>
      </c>
      <c r="V223" s="33">
        <v>5.0897708414479784E-2</v>
      </c>
      <c r="W223" s="33">
        <v>8.7098625791701204E-2</v>
      </c>
      <c r="X223" s="33">
        <v>1.2134710442774322E-3</v>
      </c>
      <c r="Y223" s="33">
        <v>1.0270552814734147E-3</v>
      </c>
      <c r="Z223" s="33">
        <v>4.5970904861075162E-2</v>
      </c>
      <c r="AA223" s="33">
        <v>4.3188940203110898E-3</v>
      </c>
      <c r="AB223" s="33">
        <v>1.7095749927587924E-3</v>
      </c>
      <c r="AC223" s="33">
        <v>1.8353449830349794E-3</v>
      </c>
      <c r="AD223" s="33">
        <v>3.4924074712117288E-3</v>
      </c>
      <c r="AE223" s="33">
        <v>1.5547475743077496E-3</v>
      </c>
      <c r="AF223" s="33">
        <v>1.4390791544157879E-3</v>
      </c>
      <c r="AG223" s="33">
        <v>1.2319958675310056E-3</v>
      </c>
      <c r="AH223" s="33">
        <v>1.0143347361948607E-2</v>
      </c>
      <c r="AI223" s="33">
        <v>1.3124127881035286E-3</v>
      </c>
      <c r="AJ223" s="33">
        <v>1.1139052236957788E-3</v>
      </c>
      <c r="AK223" s="33">
        <v>7.962109811299878E-4</v>
      </c>
      <c r="AL223" s="33">
        <v>9.5804940420486661E-4</v>
      </c>
      <c r="AM223" s="33">
        <v>1.4804093714979117E-3</v>
      </c>
      <c r="AN223" s="33">
        <v>2.7525568449119357E-3</v>
      </c>
      <c r="AO223" s="33">
        <v>1.5620989696683548E-3</v>
      </c>
      <c r="AP223" s="33">
        <v>8.4354774886714163E-4</v>
      </c>
      <c r="AQ223" s="33">
        <v>1.0226419656543398E-3</v>
      </c>
      <c r="AR223" s="33">
        <v>5.7865656176006777E-3</v>
      </c>
      <c r="AS223" s="33">
        <v>5.5855471592530766E-3</v>
      </c>
      <c r="AT223" s="34">
        <v>0</v>
      </c>
      <c r="AX223" s="39">
        <v>0</v>
      </c>
      <c r="AY223" s="40">
        <v>2.6255371909219907E-3</v>
      </c>
      <c r="BC223" s="41">
        <v>2.1725967646230839</v>
      </c>
      <c r="BD223">
        <f t="shared" si="30"/>
        <v>1.1799100145734762</v>
      </c>
      <c r="BG223" s="41">
        <f t="shared" si="31"/>
        <v>1.6875942439889182</v>
      </c>
      <c r="BH223">
        <f t="shared" si="32"/>
        <v>0.91651123735541729</v>
      </c>
    </row>
    <row r="224" spans="1:60" x14ac:dyDescent="0.25">
      <c r="A224" s="18" t="s">
        <v>54</v>
      </c>
      <c r="B224" s="32">
        <v>3.4448153962067123E-3</v>
      </c>
      <c r="C224" s="33">
        <v>2.1576860549427806E-3</v>
      </c>
      <c r="D224" s="33">
        <v>4.9499912628046014E-4</v>
      </c>
      <c r="E224" s="33">
        <v>3.8328801956583969E-3</v>
      </c>
      <c r="F224" s="33">
        <v>2.3103504338677209E-3</v>
      </c>
      <c r="G224" s="33">
        <v>1.7668307972478689E-2</v>
      </c>
      <c r="H224" s="33">
        <v>2.734653741832821E-2</v>
      </c>
      <c r="I224" s="33">
        <v>6.4035339169150659E-3</v>
      </c>
      <c r="J224" s="33">
        <v>1.2620819665796588</v>
      </c>
      <c r="K224" s="33">
        <v>2.1018293927266046E-3</v>
      </c>
      <c r="L224" s="33">
        <v>1.0787502314709606E-2</v>
      </c>
      <c r="M224" s="33">
        <v>1.9227113104297165E-2</v>
      </c>
      <c r="N224" s="33">
        <v>1.8470486466646601E-2</v>
      </c>
      <c r="O224" s="33">
        <v>1.680551852182487E-2</v>
      </c>
      <c r="P224" s="33">
        <v>5.9349221840875399E-3</v>
      </c>
      <c r="Q224" s="33">
        <v>7.5506189471790039E-3</v>
      </c>
      <c r="R224" s="33">
        <v>1.0004087387241933E-2</v>
      </c>
      <c r="S224" s="33">
        <v>1.0436597688993052E-2</v>
      </c>
      <c r="T224" s="33">
        <v>1.5737433086497502E-2</v>
      </c>
      <c r="U224" s="33">
        <v>8.8855449200377513E-3</v>
      </c>
      <c r="V224" s="33">
        <v>4.0142637616713012E-3</v>
      </c>
      <c r="W224" s="33">
        <v>9.1896768622359414E-3</v>
      </c>
      <c r="X224" s="33">
        <v>3.5121651533259017E-3</v>
      </c>
      <c r="Y224" s="33">
        <v>3.0216488338451761E-3</v>
      </c>
      <c r="Z224" s="33">
        <v>6.6218937044981389E-3</v>
      </c>
      <c r="AA224" s="33">
        <v>9.7656036494494277E-3</v>
      </c>
      <c r="AB224" s="33">
        <v>3.9548759141236744E-3</v>
      </c>
      <c r="AC224" s="33">
        <v>4.1893058150971694E-3</v>
      </c>
      <c r="AD224" s="33">
        <v>6.6265448170644142E-3</v>
      </c>
      <c r="AE224" s="33">
        <v>4.7876514214097669E-3</v>
      </c>
      <c r="AF224" s="33">
        <v>7.9505700407964397E-3</v>
      </c>
      <c r="AG224" s="33">
        <v>6.5070561878830882E-3</v>
      </c>
      <c r="AH224" s="33">
        <v>9.5426670976800534E-2</v>
      </c>
      <c r="AI224" s="33">
        <v>5.7516469694088657E-3</v>
      </c>
      <c r="AJ224" s="33">
        <v>3.9687355133949552E-3</v>
      </c>
      <c r="AK224" s="33">
        <v>7.2292204372319292E-3</v>
      </c>
      <c r="AL224" s="33">
        <v>1.5940465098374223E-3</v>
      </c>
      <c r="AM224" s="33">
        <v>6.1412504165428766E-3</v>
      </c>
      <c r="AN224" s="33">
        <v>5.2220748140309652E-3</v>
      </c>
      <c r="AO224" s="33">
        <v>7.3117084129960801E-3</v>
      </c>
      <c r="AP224" s="33">
        <v>1.0326846179054534E-2</v>
      </c>
      <c r="AQ224" s="33">
        <v>9.9126102674146552E-3</v>
      </c>
      <c r="AR224" s="33">
        <v>2.7638090664099564E-2</v>
      </c>
      <c r="AS224" s="33">
        <v>2.5069161240946037E-2</v>
      </c>
      <c r="AT224" s="34">
        <v>0</v>
      </c>
      <c r="AX224" s="39">
        <v>0</v>
      </c>
      <c r="AY224" s="40">
        <v>5.6025014511494929E-3</v>
      </c>
      <c r="BC224" s="41">
        <v>2.1180223651938799</v>
      </c>
      <c r="BD224">
        <f t="shared" si="30"/>
        <v>1.1502713437099383</v>
      </c>
      <c r="BG224" s="41">
        <f t="shared" si="31"/>
        <v>1.7274160496717375</v>
      </c>
      <c r="BH224">
        <f t="shared" si="32"/>
        <v>0.93813795985111648</v>
      </c>
    </row>
    <row r="225" spans="1:60" x14ac:dyDescent="0.25">
      <c r="A225" s="18" t="s">
        <v>55</v>
      </c>
      <c r="B225" s="32">
        <v>2.8291981294076861E-2</v>
      </c>
      <c r="C225" s="33">
        <v>8.5993287214180592E-2</v>
      </c>
      <c r="D225" s="33">
        <v>1.4100988448637528E-2</v>
      </c>
      <c r="E225" s="33">
        <v>4.9829554382210081E-2</v>
      </c>
      <c r="F225" s="33">
        <v>2.1578587392374775E-2</v>
      </c>
      <c r="G225" s="33">
        <v>3.2780420933416037E-2</v>
      </c>
      <c r="H225" s="33">
        <v>2.6209792382214461E-2</v>
      </c>
      <c r="I225" s="33">
        <v>2.3890618879827723E-2</v>
      </c>
      <c r="J225" s="33">
        <v>3.3516950583659513E-2</v>
      </c>
      <c r="K225" s="33">
        <v>1.1193751164051664</v>
      </c>
      <c r="L225" s="33">
        <v>3.9314905024038074E-2</v>
      </c>
      <c r="M225" s="33">
        <v>2.177427076040165E-2</v>
      </c>
      <c r="N225" s="33">
        <v>5.3241741534518411E-2</v>
      </c>
      <c r="O225" s="33">
        <v>8.7951785343510475E-2</v>
      </c>
      <c r="P225" s="33">
        <v>3.986339184573031E-2</v>
      </c>
      <c r="Q225" s="33">
        <v>3.9243222804185254E-2</v>
      </c>
      <c r="R225" s="33">
        <v>3.4905561327271926E-2</v>
      </c>
      <c r="S225" s="33">
        <v>2.7713352869926815E-2</v>
      </c>
      <c r="T225" s="33">
        <v>3.849101418004415E-2</v>
      </c>
      <c r="U225" s="33">
        <v>3.42165088443235E-2</v>
      </c>
      <c r="V225" s="33">
        <v>1.4860431307198586E-2</v>
      </c>
      <c r="W225" s="33">
        <v>2.6698424051344517E-2</v>
      </c>
      <c r="X225" s="33">
        <v>3.8798160192711241E-2</v>
      </c>
      <c r="Y225" s="33">
        <v>3.1270780673872504E-2</v>
      </c>
      <c r="Z225" s="33">
        <v>4.8304640343258209E-2</v>
      </c>
      <c r="AA225" s="33">
        <v>3.1499477253872053E-2</v>
      </c>
      <c r="AB225" s="33">
        <v>0.1499996070616135</v>
      </c>
      <c r="AC225" s="33">
        <v>0.17193237194593208</v>
      </c>
      <c r="AD225" s="33">
        <v>0.3133649514971914</v>
      </c>
      <c r="AE225" s="33">
        <v>5.6619141049529143E-2</v>
      </c>
      <c r="AF225" s="33">
        <v>5.0616094932298357E-2</v>
      </c>
      <c r="AG225" s="33">
        <v>1.7920590715833903E-2</v>
      </c>
      <c r="AH225" s="33">
        <v>5.0798807187617416E-2</v>
      </c>
      <c r="AI225" s="33">
        <v>2.1037211081204831E-2</v>
      </c>
      <c r="AJ225" s="33">
        <v>3.3774096275996507E-3</v>
      </c>
      <c r="AK225" s="33">
        <v>4.7431808668480669E-3</v>
      </c>
      <c r="AL225" s="33">
        <v>2.3162244491460385E-3</v>
      </c>
      <c r="AM225" s="33">
        <v>4.5433787074573261E-3</v>
      </c>
      <c r="AN225" s="33">
        <v>9.532428085010803E-3</v>
      </c>
      <c r="AO225" s="33">
        <v>3.2560957145275897E-2</v>
      </c>
      <c r="AP225" s="33">
        <v>1.333340064719681E-2</v>
      </c>
      <c r="AQ225" s="33">
        <v>1.7950796993455129E-2</v>
      </c>
      <c r="AR225" s="33">
        <v>2.6803584419503371E-2</v>
      </c>
      <c r="AS225" s="33">
        <v>2.6283812612713158E-2</v>
      </c>
      <c r="AT225" s="34">
        <v>0</v>
      </c>
      <c r="AX225" s="39">
        <v>0</v>
      </c>
      <c r="AY225" s="40">
        <v>0.11428526850825746</v>
      </c>
      <c r="BC225" s="41">
        <v>2.4629516359497963</v>
      </c>
      <c r="BD225">
        <f t="shared" si="30"/>
        <v>1.3375980982699536</v>
      </c>
      <c r="BG225" s="41">
        <f t="shared" si="31"/>
        <v>3.0174489152973987</v>
      </c>
      <c r="BH225">
        <f t="shared" si="32"/>
        <v>1.638738606075822</v>
      </c>
    </row>
    <row r="226" spans="1:60" x14ac:dyDescent="0.25">
      <c r="A226" s="18" t="s">
        <v>56</v>
      </c>
      <c r="B226" s="32">
        <v>4.9774120247124853E-2</v>
      </c>
      <c r="C226" s="33">
        <v>8.0643634185413576E-3</v>
      </c>
      <c r="D226" s="33">
        <v>2.7576525712602767E-3</v>
      </c>
      <c r="E226" s="33">
        <v>1.4450674352469123E-2</v>
      </c>
      <c r="F226" s="33">
        <v>1.5632963256532829E-2</v>
      </c>
      <c r="G226" s="33">
        <v>4.2327959127011261E-2</v>
      </c>
      <c r="H226" s="33">
        <v>8.3232805031228041E-2</v>
      </c>
      <c r="I226" s="33">
        <v>3.2913556297859026E-2</v>
      </c>
      <c r="J226" s="33">
        <v>0.1271819671204644</v>
      </c>
      <c r="K226" s="33">
        <v>1.8150289108116589E-2</v>
      </c>
      <c r="L226" s="33">
        <v>1.1269158347322463</v>
      </c>
      <c r="M226" s="33">
        <v>8.0983555841897606E-2</v>
      </c>
      <c r="N226" s="33">
        <v>0.52944194481921358</v>
      </c>
      <c r="O226" s="33">
        <v>5.6724867908498337E-2</v>
      </c>
      <c r="P226" s="33">
        <v>2.3700249105789956E-2</v>
      </c>
      <c r="Q226" s="33">
        <v>5.0253611138323453E-2</v>
      </c>
      <c r="R226" s="33">
        <v>4.4689446201188955E-2</v>
      </c>
      <c r="S226" s="33">
        <v>6.5796901848681463E-2</v>
      </c>
      <c r="T226" s="33">
        <v>0.11235702602493586</v>
      </c>
      <c r="U226" s="33">
        <v>5.4580816649134958E-2</v>
      </c>
      <c r="V226" s="33">
        <v>2.5435826797984656E-2</v>
      </c>
      <c r="W226" s="33">
        <v>7.1386301590842249E-2</v>
      </c>
      <c r="X226" s="33">
        <v>1.0217738430819388E-2</v>
      </c>
      <c r="Y226" s="33">
        <v>1.3240184019985082E-2</v>
      </c>
      <c r="Z226" s="33">
        <v>3.7673271357840814E-2</v>
      </c>
      <c r="AA226" s="33">
        <v>2.9407020772212876E-2</v>
      </c>
      <c r="AB226" s="33">
        <v>1.4994040626706315E-2</v>
      </c>
      <c r="AC226" s="33">
        <v>1.4468204328791482E-2</v>
      </c>
      <c r="AD226" s="33">
        <v>2.3648464856372464E-2</v>
      </c>
      <c r="AE226" s="33">
        <v>1.0786860587987598E-2</v>
      </c>
      <c r="AF226" s="33">
        <v>1.002144956843464E-2</v>
      </c>
      <c r="AG226" s="33">
        <v>1.7294808508491161E-2</v>
      </c>
      <c r="AH226" s="33">
        <v>7.3273435159426734E-2</v>
      </c>
      <c r="AI226" s="33">
        <v>8.6374424133428482E-3</v>
      </c>
      <c r="AJ226" s="33">
        <v>4.1323016893977929E-3</v>
      </c>
      <c r="AK226" s="33">
        <v>3.5580384714619597E-3</v>
      </c>
      <c r="AL226" s="33">
        <v>2.5186376579175059E-3</v>
      </c>
      <c r="AM226" s="33">
        <v>7.0519821745753004E-3</v>
      </c>
      <c r="AN226" s="33">
        <v>8.7154876558353991E-3</v>
      </c>
      <c r="AO226" s="33">
        <v>1.0898021075073594E-2</v>
      </c>
      <c r="AP226" s="33">
        <v>8.1593404740395344E-3</v>
      </c>
      <c r="AQ226" s="33">
        <v>1.6442935772843444E-2</v>
      </c>
      <c r="AR226" s="33">
        <v>2.5098706199535463E-2</v>
      </c>
      <c r="AS226" s="33">
        <v>3.6534554949262263E-2</v>
      </c>
      <c r="AT226" s="34">
        <v>0</v>
      </c>
      <c r="AX226" s="39">
        <v>0</v>
      </c>
      <c r="AY226" s="40">
        <v>5.7838483665666213E-2</v>
      </c>
      <c r="BC226" s="41">
        <v>2.0202872925916449</v>
      </c>
      <c r="BD226">
        <f t="shared" si="30"/>
        <v>1.0971926533536773</v>
      </c>
      <c r="BG226" s="41">
        <f t="shared" si="31"/>
        <v>3.0235256599396982</v>
      </c>
      <c r="BH226">
        <f t="shared" si="32"/>
        <v>1.6420388097658054</v>
      </c>
    </row>
    <row r="227" spans="1:60" x14ac:dyDescent="0.25">
      <c r="A227" s="18" t="s">
        <v>57</v>
      </c>
      <c r="B227" s="32">
        <v>8.4094150428084807E-3</v>
      </c>
      <c r="C227" s="33">
        <v>1.2827722655350214E-3</v>
      </c>
      <c r="D227" s="33">
        <v>3.3589181126934435E-4</v>
      </c>
      <c r="E227" s="33">
        <v>1.7459208366774825E-3</v>
      </c>
      <c r="F227" s="33">
        <v>1.7387490517223768E-3</v>
      </c>
      <c r="G227" s="33">
        <v>8.2706679063630304E-3</v>
      </c>
      <c r="H227" s="33">
        <v>8.9815667532713705E-3</v>
      </c>
      <c r="I227" s="33">
        <v>5.7533401842381213E-3</v>
      </c>
      <c r="J227" s="33">
        <v>1.4124999816044143E-2</v>
      </c>
      <c r="K227" s="33">
        <v>1.4734303336293283E-3</v>
      </c>
      <c r="L227" s="33">
        <v>1.5196953604990578E-2</v>
      </c>
      <c r="M227" s="33">
        <v>1.1734720133252059</v>
      </c>
      <c r="N227" s="33">
        <v>4.1871793745960152E-2</v>
      </c>
      <c r="O227" s="33">
        <v>6.705441040775589E-3</v>
      </c>
      <c r="P227" s="33">
        <v>3.1521162463925712E-3</v>
      </c>
      <c r="Q227" s="33">
        <v>6.8376039959378663E-3</v>
      </c>
      <c r="R227" s="33">
        <v>7.1515828643224288E-3</v>
      </c>
      <c r="S227" s="33">
        <v>7.6601960255158448E-3</v>
      </c>
      <c r="T227" s="33">
        <v>1.4298513576728429E-2</v>
      </c>
      <c r="U227" s="33">
        <v>6.558471166056911E-3</v>
      </c>
      <c r="V227" s="33">
        <v>3.2861963254916362E-3</v>
      </c>
      <c r="W227" s="33">
        <v>7.4167767193555768E-3</v>
      </c>
      <c r="X227" s="33">
        <v>1.5974154861243652E-3</v>
      </c>
      <c r="Y227" s="33">
        <v>1.8853612210248754E-3</v>
      </c>
      <c r="Z227" s="33">
        <v>4.487376091103978E-3</v>
      </c>
      <c r="AA227" s="33">
        <v>4.7804601694711396E-3</v>
      </c>
      <c r="AB227" s="33">
        <v>2.4778179870573068E-3</v>
      </c>
      <c r="AC227" s="33">
        <v>3.1174210455188292E-3</v>
      </c>
      <c r="AD227" s="33">
        <v>4.6270966321347124E-3</v>
      </c>
      <c r="AE227" s="33">
        <v>2.4131597795886122E-3</v>
      </c>
      <c r="AF227" s="33">
        <v>2.1271554211277394E-3</v>
      </c>
      <c r="AG227" s="33">
        <v>3.4665656585338854E-3</v>
      </c>
      <c r="AH227" s="33">
        <v>1.1189304149585398E-2</v>
      </c>
      <c r="AI227" s="33">
        <v>1.987902093435379E-3</v>
      </c>
      <c r="AJ227" s="33">
        <v>1.232413472359238E-3</v>
      </c>
      <c r="AK227" s="33">
        <v>9.9105785584044804E-4</v>
      </c>
      <c r="AL227" s="33">
        <v>4.6103279163086383E-4</v>
      </c>
      <c r="AM227" s="33">
        <v>2.4216396853580405E-3</v>
      </c>
      <c r="AN227" s="33">
        <v>1.7301811447963554E-3</v>
      </c>
      <c r="AO227" s="33">
        <v>3.8517437441588525E-3</v>
      </c>
      <c r="AP227" s="33">
        <v>4.1050073785765147E-3</v>
      </c>
      <c r="AQ227" s="33">
        <v>1.9646802817501488E-2</v>
      </c>
      <c r="AR227" s="33">
        <v>8.1916060780245215E-3</v>
      </c>
      <c r="AS227" s="33">
        <v>7.7427968250363853E-3</v>
      </c>
      <c r="AT227" s="34">
        <v>0</v>
      </c>
      <c r="AX227" s="39">
        <v>0</v>
      </c>
      <c r="AY227" s="40">
        <v>9.6921873083435015E-3</v>
      </c>
      <c r="BC227" s="41">
        <v>1.8567659872666811</v>
      </c>
      <c r="BD227">
        <f t="shared" si="30"/>
        <v>1.0083862862952579</v>
      </c>
      <c r="BG227" s="41">
        <f t="shared" si="31"/>
        <v>1.4402557301662808</v>
      </c>
      <c r="BH227">
        <f t="shared" si="32"/>
        <v>0.78218479712448941</v>
      </c>
    </row>
    <row r="228" spans="1:60" x14ac:dyDescent="0.25">
      <c r="A228" s="18" t="s">
        <v>58</v>
      </c>
      <c r="B228" s="32">
        <v>6.5947586816060746E-3</v>
      </c>
      <c r="C228" s="33">
        <v>6.3431619431296594E-3</v>
      </c>
      <c r="D228" s="33">
        <v>9.7445774741482022E-4</v>
      </c>
      <c r="E228" s="33">
        <v>1.1632457832967449E-2</v>
      </c>
      <c r="F228" s="33">
        <v>4.5495986358616543E-3</v>
      </c>
      <c r="G228" s="33">
        <v>1.8051483850732419E-2</v>
      </c>
      <c r="H228" s="33">
        <v>4.0964011190825288E-2</v>
      </c>
      <c r="I228" s="33">
        <v>9.6940230762166645E-3</v>
      </c>
      <c r="J228" s="33">
        <v>1.4176818162261458E-2</v>
      </c>
      <c r="K228" s="33">
        <v>1.1251519558565062E-2</v>
      </c>
      <c r="L228" s="33">
        <v>1.3434617048457985E-2</v>
      </c>
      <c r="M228" s="33">
        <v>1.4229164518577845E-2</v>
      </c>
      <c r="N228" s="33">
        <v>1.056942076218409</v>
      </c>
      <c r="O228" s="33">
        <v>8.789686868347182E-3</v>
      </c>
      <c r="P228" s="33">
        <v>8.2302513539244462E-3</v>
      </c>
      <c r="Q228" s="33">
        <v>1.2719544950957432E-2</v>
      </c>
      <c r="R228" s="33">
        <v>2.0622469479926964E-2</v>
      </c>
      <c r="S228" s="33">
        <v>4.3178810252129184E-2</v>
      </c>
      <c r="T228" s="33">
        <v>8.6841620838360944E-2</v>
      </c>
      <c r="U228" s="33">
        <v>5.0501684933730792E-2</v>
      </c>
      <c r="V228" s="33">
        <v>7.6385333434914786E-3</v>
      </c>
      <c r="W228" s="33">
        <v>2.2837322467631638E-2</v>
      </c>
      <c r="X228" s="33">
        <v>3.583029021163666E-3</v>
      </c>
      <c r="Y228" s="33">
        <v>3.6755631654667256E-3</v>
      </c>
      <c r="Z228" s="33">
        <v>1.4142726475580574E-2</v>
      </c>
      <c r="AA228" s="33">
        <v>2.5591842672010451E-2</v>
      </c>
      <c r="AB228" s="33">
        <v>1.0927454682478238E-2</v>
      </c>
      <c r="AC228" s="33">
        <v>7.080851678778202E-3</v>
      </c>
      <c r="AD228" s="33">
        <v>1.1714401039371734E-2</v>
      </c>
      <c r="AE228" s="33">
        <v>5.9159716975093705E-3</v>
      </c>
      <c r="AF228" s="33">
        <v>4.081837817828937E-3</v>
      </c>
      <c r="AG228" s="33">
        <v>5.711295913636812E-3</v>
      </c>
      <c r="AH228" s="33">
        <v>1.1245840627769147E-2</v>
      </c>
      <c r="AI228" s="33">
        <v>3.0627177660003087E-3</v>
      </c>
      <c r="AJ228" s="33">
        <v>9.6471588152135255E-4</v>
      </c>
      <c r="AK228" s="33">
        <v>7.7764151384458063E-4</v>
      </c>
      <c r="AL228" s="33">
        <v>4.9282379155395854E-4</v>
      </c>
      <c r="AM228" s="33">
        <v>1.3367386730945196E-3</v>
      </c>
      <c r="AN228" s="33">
        <v>2.1290985596834036E-3</v>
      </c>
      <c r="AO228" s="33">
        <v>5.6139954980118168E-3</v>
      </c>
      <c r="AP228" s="33">
        <v>1.640346495804687E-3</v>
      </c>
      <c r="AQ228" s="33">
        <v>2.5709801693415421E-3</v>
      </c>
      <c r="AR228" s="33">
        <v>5.0402190458117583E-3</v>
      </c>
      <c r="AS228" s="33">
        <v>5.382271107408524E-3</v>
      </c>
      <c r="AT228" s="34">
        <v>0</v>
      </c>
      <c r="AX228" s="39">
        <v>0</v>
      </c>
      <c r="AY228" s="40">
        <v>1.2937920624735734E-2</v>
      </c>
      <c r="BC228" s="41">
        <v>2.7037433806792412</v>
      </c>
      <c r="BD228">
        <f t="shared" si="30"/>
        <v>1.4683690704352288</v>
      </c>
      <c r="BG228" s="41">
        <f t="shared" si="31"/>
        <v>1.6028804362471956</v>
      </c>
      <c r="BH228">
        <f t="shared" si="32"/>
        <v>0.87050423239494945</v>
      </c>
    </row>
    <row r="229" spans="1:60" x14ac:dyDescent="0.25">
      <c r="A229" s="18" t="s">
        <v>59</v>
      </c>
      <c r="B229" s="32">
        <v>2.1062829797454737E-3</v>
      </c>
      <c r="C229" s="33">
        <v>1.2456126304981672E-3</v>
      </c>
      <c r="D229" s="33">
        <v>9.229814625751555E-4</v>
      </c>
      <c r="E229" s="33">
        <v>3.3532114043145675E-3</v>
      </c>
      <c r="F229" s="33">
        <v>5.7587020681051822E-3</v>
      </c>
      <c r="G229" s="33">
        <v>4.7693234145787548E-3</v>
      </c>
      <c r="H229" s="33">
        <v>6.713046203125495E-3</v>
      </c>
      <c r="I229" s="33">
        <v>7.9485219162760117E-3</v>
      </c>
      <c r="J229" s="33">
        <v>7.5958370320448575E-3</v>
      </c>
      <c r="K229" s="33">
        <v>2.0302831433718321E-3</v>
      </c>
      <c r="L229" s="33">
        <v>7.9673734071352212E-3</v>
      </c>
      <c r="M229" s="33">
        <v>5.7088593732937051E-3</v>
      </c>
      <c r="N229" s="33">
        <v>1.1204732755520997E-2</v>
      </c>
      <c r="O229" s="33">
        <v>1.0989078142727213</v>
      </c>
      <c r="P229" s="33">
        <v>5.6004439965486458E-3</v>
      </c>
      <c r="Q229" s="33">
        <v>3.1616859912262228E-2</v>
      </c>
      <c r="R229" s="33">
        <v>8.8345276806651215E-3</v>
      </c>
      <c r="S229" s="33">
        <v>7.1538991180652729E-3</v>
      </c>
      <c r="T229" s="33">
        <v>9.1116544156170844E-3</v>
      </c>
      <c r="U229" s="33">
        <v>3.6043244735106388E-2</v>
      </c>
      <c r="V229" s="33">
        <v>6.7869544277270096E-3</v>
      </c>
      <c r="W229" s="33">
        <v>7.2156153104826438E-3</v>
      </c>
      <c r="X229" s="33">
        <v>2.7503579712889353E-3</v>
      </c>
      <c r="Y229" s="33">
        <v>2.3876364338777925E-3</v>
      </c>
      <c r="Z229" s="33">
        <v>0.20865245444613445</v>
      </c>
      <c r="AA229" s="33">
        <v>5.3440734906870634E-3</v>
      </c>
      <c r="AB229" s="33">
        <v>3.2711744659971406E-3</v>
      </c>
      <c r="AC229" s="33">
        <v>2.9640595936931886E-3</v>
      </c>
      <c r="AD229" s="33">
        <v>4.7728241463698912E-3</v>
      </c>
      <c r="AE229" s="33">
        <v>2.920812627997333E-3</v>
      </c>
      <c r="AF229" s="33">
        <v>2.7886440975707725E-3</v>
      </c>
      <c r="AG229" s="33">
        <v>2.5632304414094651E-3</v>
      </c>
      <c r="AH229" s="33">
        <v>6.3251744047053199E-3</v>
      </c>
      <c r="AI229" s="33">
        <v>2.3224806696683581E-3</v>
      </c>
      <c r="AJ229" s="33">
        <v>8.8567141758369547E-4</v>
      </c>
      <c r="AK229" s="33">
        <v>1.9913579282721115E-3</v>
      </c>
      <c r="AL229" s="33">
        <v>9.129036299379544E-4</v>
      </c>
      <c r="AM229" s="33">
        <v>9.8148128333513528E-4</v>
      </c>
      <c r="AN229" s="33">
        <v>1.2106128479987841E-3</v>
      </c>
      <c r="AO229" s="33">
        <v>3.8086281743025777E-3</v>
      </c>
      <c r="AP229" s="33">
        <v>1.8403816755714127E-3</v>
      </c>
      <c r="AQ229" s="33">
        <v>2.1789135985954594E-3</v>
      </c>
      <c r="AR229" s="33">
        <v>2.9934163163440669E-3</v>
      </c>
      <c r="AS229" s="33">
        <v>2.7757038951691736E-3</v>
      </c>
      <c r="AT229" s="34">
        <v>0</v>
      </c>
      <c r="AX229" s="39">
        <v>0</v>
      </c>
      <c r="AY229" s="40">
        <v>3.3518956102436409E-3</v>
      </c>
      <c r="BC229" s="41">
        <v>2.0854494410388282</v>
      </c>
      <c r="BD229">
        <f t="shared" si="30"/>
        <v>1.132581397724423</v>
      </c>
      <c r="BG229" s="41">
        <f t="shared" si="31"/>
        <v>1.5452377752162918</v>
      </c>
      <c r="BH229">
        <f t="shared" si="32"/>
        <v>0.8391992271935691</v>
      </c>
    </row>
    <row r="230" spans="1:60" x14ac:dyDescent="0.25">
      <c r="A230" s="18" t="s">
        <v>60</v>
      </c>
      <c r="B230" s="32">
        <v>4.1291202117525886E-3</v>
      </c>
      <c r="C230" s="33">
        <v>4.2586740961287469E-3</v>
      </c>
      <c r="D230" s="33">
        <v>2.6437676308621086E-3</v>
      </c>
      <c r="E230" s="33">
        <v>8.5653883155635113E-3</v>
      </c>
      <c r="F230" s="33">
        <v>1.6664182011724458E-2</v>
      </c>
      <c r="G230" s="33">
        <v>9.7625480389846777E-3</v>
      </c>
      <c r="H230" s="33">
        <v>2.0705595514283966E-2</v>
      </c>
      <c r="I230" s="33">
        <v>2.6387056390671418E-2</v>
      </c>
      <c r="J230" s="33">
        <v>1.6038869897285472E-2</v>
      </c>
      <c r="K230" s="33">
        <v>1.0206909737262871E-2</v>
      </c>
      <c r="L230" s="33">
        <v>1.2046267170986029E-2</v>
      </c>
      <c r="M230" s="33">
        <v>9.7757879302765478E-3</v>
      </c>
      <c r="N230" s="33">
        <v>3.3148034611891135E-2</v>
      </c>
      <c r="O230" s="33">
        <v>0.13309704511728701</v>
      </c>
      <c r="P230" s="33">
        <v>1.6134034497007546</v>
      </c>
      <c r="Q230" s="33">
        <v>0.44256816959798145</v>
      </c>
      <c r="R230" s="33">
        <v>0.1033911967744979</v>
      </c>
      <c r="S230" s="33">
        <v>0.21351325239108518</v>
      </c>
      <c r="T230" s="33">
        <v>0.24876203128429974</v>
      </c>
      <c r="U230" s="33">
        <v>6.5428586894607219E-2</v>
      </c>
      <c r="V230" s="33">
        <v>0.11349487443262993</v>
      </c>
      <c r="W230" s="33">
        <v>7.9541394088961048E-2</v>
      </c>
      <c r="X230" s="33">
        <v>8.8616533210489797E-3</v>
      </c>
      <c r="Y230" s="33">
        <v>8.9713907851627656E-3</v>
      </c>
      <c r="Z230" s="33">
        <v>0.11519504777577137</v>
      </c>
      <c r="AA230" s="33">
        <v>1.2057005517866129E-2</v>
      </c>
      <c r="AB230" s="33">
        <v>7.3272429828165784E-3</v>
      </c>
      <c r="AC230" s="33">
        <v>7.1013814409226555E-3</v>
      </c>
      <c r="AD230" s="33">
        <v>1.206426958660272E-2</v>
      </c>
      <c r="AE230" s="33">
        <v>5.3470957312182965E-3</v>
      </c>
      <c r="AF230" s="33">
        <v>6.0295272681778036E-3</v>
      </c>
      <c r="AG230" s="33">
        <v>4.669207121773376E-3</v>
      </c>
      <c r="AH230" s="33">
        <v>1.8741992763111684E-2</v>
      </c>
      <c r="AI230" s="33">
        <v>7.6239698980074657E-3</v>
      </c>
      <c r="AJ230" s="33">
        <v>2.4657554881470796E-3</v>
      </c>
      <c r="AK230" s="33">
        <v>1.8220386795823758E-3</v>
      </c>
      <c r="AL230" s="33">
        <v>1.2320810682600479E-3</v>
      </c>
      <c r="AM230" s="33">
        <v>3.1151013556159272E-3</v>
      </c>
      <c r="AN230" s="33">
        <v>4.4399586637001078E-3</v>
      </c>
      <c r="AO230" s="33">
        <v>4.9473427641528915E-3</v>
      </c>
      <c r="AP230" s="33">
        <v>3.1514861861559867E-3</v>
      </c>
      <c r="AQ230" s="33">
        <v>4.4063560575629476E-3</v>
      </c>
      <c r="AR230" s="33">
        <v>8.6367931282214892E-3</v>
      </c>
      <c r="AS230" s="33">
        <v>9.1172816668897341E-3</v>
      </c>
      <c r="AT230" s="34">
        <v>0</v>
      </c>
      <c r="AX230" s="39">
        <v>0</v>
      </c>
      <c r="AY230" s="40">
        <v>8.3877943078813355E-3</v>
      </c>
      <c r="BC230" s="41">
        <v>2.3099538034179452</v>
      </c>
      <c r="BD230">
        <f t="shared" si="30"/>
        <v>1.2545068971083404</v>
      </c>
      <c r="BG230" s="41">
        <f t="shared" si="31"/>
        <v>3.4448561810905467</v>
      </c>
      <c r="BH230">
        <f t="shared" si="32"/>
        <v>1.8708581237987956</v>
      </c>
    </row>
    <row r="231" spans="1:60" x14ac:dyDescent="0.25">
      <c r="A231" s="18" t="s">
        <v>61</v>
      </c>
      <c r="B231" s="32">
        <v>3.3073313804171489E-3</v>
      </c>
      <c r="C231" s="33">
        <v>2.5522109259340457E-3</v>
      </c>
      <c r="D231" s="33">
        <v>2.0132188113747475E-3</v>
      </c>
      <c r="E231" s="33">
        <v>7.5180487576440701E-3</v>
      </c>
      <c r="F231" s="33">
        <v>1.2579944957490803E-2</v>
      </c>
      <c r="G231" s="33">
        <v>1.42259612564281E-2</v>
      </c>
      <c r="H231" s="33">
        <v>2.7367382248228062E-2</v>
      </c>
      <c r="I231" s="33">
        <v>3.8561626591259841E-2</v>
      </c>
      <c r="J231" s="33">
        <v>1.2195632353994228E-2</v>
      </c>
      <c r="K231" s="33">
        <v>1.1356871667657312E-2</v>
      </c>
      <c r="L231" s="33">
        <v>1.0724418900793268E-2</v>
      </c>
      <c r="M231" s="33">
        <v>9.3097677000859129E-3</v>
      </c>
      <c r="N231" s="33">
        <v>1.5755383031225367E-2</v>
      </c>
      <c r="O231" s="33">
        <v>3.24661694528601E-2</v>
      </c>
      <c r="P231" s="33">
        <v>5.6460111083162907E-2</v>
      </c>
      <c r="Q231" s="33">
        <v>1.1476399517395262</v>
      </c>
      <c r="R231" s="33">
        <v>2.9865466641326003E-2</v>
      </c>
      <c r="S231" s="33">
        <v>2.8764331914963682E-2</v>
      </c>
      <c r="T231" s="33">
        <v>9.4896855102619887E-2</v>
      </c>
      <c r="U231" s="33">
        <v>3.6801188407690762E-2</v>
      </c>
      <c r="V231" s="33">
        <v>5.7254468399066817E-2</v>
      </c>
      <c r="W231" s="33">
        <v>4.3192979013573073E-2</v>
      </c>
      <c r="X231" s="33">
        <v>5.05033690573137E-3</v>
      </c>
      <c r="Y231" s="33">
        <v>5.140218457349386E-3</v>
      </c>
      <c r="Z231" s="33">
        <v>4.9587311014631257E-2</v>
      </c>
      <c r="AA231" s="33">
        <v>8.1706136996070548E-3</v>
      </c>
      <c r="AB231" s="33">
        <v>5.2799770462305298E-3</v>
      </c>
      <c r="AC231" s="33">
        <v>5.5276786232612693E-3</v>
      </c>
      <c r="AD231" s="33">
        <v>8.6587539537002177E-3</v>
      </c>
      <c r="AE231" s="33">
        <v>4.12714154815437E-3</v>
      </c>
      <c r="AF231" s="33">
        <v>3.5650567120423977E-3</v>
      </c>
      <c r="AG231" s="33">
        <v>6.2301351397547238E-3</v>
      </c>
      <c r="AH231" s="33">
        <v>1.5049575957382691E-2</v>
      </c>
      <c r="AI231" s="33">
        <v>3.4954763753115765E-3</v>
      </c>
      <c r="AJ231" s="33">
        <v>1.5952245025945997E-3</v>
      </c>
      <c r="AK231" s="33">
        <v>1.0924713810924057E-3</v>
      </c>
      <c r="AL231" s="33">
        <v>8.2658327771673945E-4</v>
      </c>
      <c r="AM231" s="33">
        <v>1.9438966869799812E-3</v>
      </c>
      <c r="AN231" s="33">
        <v>3.0740273031496044E-3</v>
      </c>
      <c r="AO231" s="33">
        <v>3.2215996100071619E-3</v>
      </c>
      <c r="AP231" s="33">
        <v>1.7360953874427714E-3</v>
      </c>
      <c r="AQ231" s="33">
        <v>2.4353749623135059E-3</v>
      </c>
      <c r="AR231" s="33">
        <v>7.6421697630819621E-3</v>
      </c>
      <c r="AS231" s="33">
        <v>7.3254040007653285E-3</v>
      </c>
      <c r="AT231" s="34">
        <v>0</v>
      </c>
      <c r="AX231" s="39">
        <v>0</v>
      </c>
      <c r="AY231" s="40">
        <v>5.859542306351195E-3</v>
      </c>
      <c r="BC231" s="41">
        <v>2.3840593541652289</v>
      </c>
      <c r="BD231">
        <f t="shared" si="30"/>
        <v>1.29475269093717</v>
      </c>
      <c r="BG231" s="41">
        <f t="shared" si="31"/>
        <v>1.8455844426456236</v>
      </c>
      <c r="BH231">
        <f t="shared" si="32"/>
        <v>1.002313729854222</v>
      </c>
    </row>
    <row r="232" spans="1:60" x14ac:dyDescent="0.25">
      <c r="A232" s="18" t="s">
        <v>62</v>
      </c>
      <c r="B232" s="32">
        <v>7.8557172776619886E-4</v>
      </c>
      <c r="C232" s="33">
        <v>7.0722694138648215E-4</v>
      </c>
      <c r="D232" s="33">
        <v>3.5958817246711447E-4</v>
      </c>
      <c r="E232" s="33">
        <v>9.180842183871661E-4</v>
      </c>
      <c r="F232" s="33">
        <v>2.0909599417518882E-3</v>
      </c>
      <c r="G232" s="33">
        <v>1.3019535452526915E-3</v>
      </c>
      <c r="H232" s="33">
        <v>2.3133849418732534E-3</v>
      </c>
      <c r="I232" s="33">
        <v>1.7800552215133923E-3</v>
      </c>
      <c r="J232" s="33">
        <v>2.1285292605483044E-3</v>
      </c>
      <c r="K232" s="33">
        <v>9.3823313760100016E-4</v>
      </c>
      <c r="L232" s="33">
        <v>1.8955257427884168E-3</v>
      </c>
      <c r="M232" s="33">
        <v>2.2098042247895499E-3</v>
      </c>
      <c r="N232" s="33">
        <v>4.9682469642264304E-3</v>
      </c>
      <c r="O232" s="33">
        <v>2.1530935685086568E-3</v>
      </c>
      <c r="P232" s="33">
        <v>1.8402960851707836E-3</v>
      </c>
      <c r="Q232" s="33">
        <v>4.4049649806146831E-3</v>
      </c>
      <c r="R232" s="33">
        <v>1.3088833790367036</v>
      </c>
      <c r="S232" s="33">
        <v>9.82819388239339E-3</v>
      </c>
      <c r="T232" s="33">
        <v>1.3039542655855817E-2</v>
      </c>
      <c r="U232" s="33">
        <v>6.63767255646817E-3</v>
      </c>
      <c r="V232" s="33">
        <v>1.6416354397161326E-2</v>
      </c>
      <c r="W232" s="33">
        <v>6.559039386684771E-3</v>
      </c>
      <c r="X232" s="33">
        <v>3.4311867322423212E-3</v>
      </c>
      <c r="Y232" s="33">
        <v>3.6471652744633517E-3</v>
      </c>
      <c r="Z232" s="33">
        <v>2.7589240984531057E-3</v>
      </c>
      <c r="AA232" s="33">
        <v>2.256659889533095E-3</v>
      </c>
      <c r="AB232" s="33">
        <v>1.7283044793362954E-3</v>
      </c>
      <c r="AC232" s="33">
        <v>1.8792640219120744E-3</v>
      </c>
      <c r="AD232" s="33">
        <v>3.3148217505093646E-3</v>
      </c>
      <c r="AE232" s="33">
        <v>1.7266035019007106E-3</v>
      </c>
      <c r="AF232" s="33">
        <v>1.0083888669997192E-2</v>
      </c>
      <c r="AG232" s="33">
        <v>8.5436525251099762E-4</v>
      </c>
      <c r="AH232" s="33">
        <v>1.1265674471395093E-2</v>
      </c>
      <c r="AI232" s="33">
        <v>3.6143532888117079E-2</v>
      </c>
      <c r="AJ232" s="33">
        <v>3.5183061084512399E-3</v>
      </c>
      <c r="AK232" s="33">
        <v>6.8229675618218326E-4</v>
      </c>
      <c r="AL232" s="33">
        <v>2.7469621444805621E-4</v>
      </c>
      <c r="AM232" s="33">
        <v>1.5424298412082425E-3</v>
      </c>
      <c r="AN232" s="33">
        <v>1.5425964005106457E-3</v>
      </c>
      <c r="AO232" s="33">
        <v>5.0194763727165748E-3</v>
      </c>
      <c r="AP232" s="33">
        <v>5.4608862532922447E-3</v>
      </c>
      <c r="AQ232" s="33">
        <v>1.1152726631173712E-2</v>
      </c>
      <c r="AR232" s="33">
        <v>3.1460813347246978E-3</v>
      </c>
      <c r="AS232" s="33">
        <v>3.9243089825097797E-3</v>
      </c>
      <c r="AT232" s="34">
        <v>0</v>
      </c>
      <c r="AX232" s="39">
        <v>0</v>
      </c>
      <c r="AY232" s="40">
        <v>1.492798669152681E-3</v>
      </c>
      <c r="BC232" s="41">
        <v>2.68720672632401</v>
      </c>
      <c r="BD232">
        <f t="shared" si="30"/>
        <v>1.4593882211589193</v>
      </c>
      <c r="BG232" s="41">
        <f t="shared" si="31"/>
        <v>1.5075138965155013</v>
      </c>
      <c r="BH232">
        <f t="shared" si="32"/>
        <v>0.81871186249138528</v>
      </c>
    </row>
    <row r="233" spans="1:60" x14ac:dyDescent="0.25">
      <c r="A233" s="18" t="s">
        <v>63</v>
      </c>
      <c r="B233" s="32">
        <v>2.6165508094385778E-3</v>
      </c>
      <c r="C233" s="33">
        <v>2.3592663165861705E-3</v>
      </c>
      <c r="D233" s="33">
        <v>9.3978988118358238E-4</v>
      </c>
      <c r="E233" s="33">
        <v>3.0562132700795806E-3</v>
      </c>
      <c r="F233" s="33">
        <v>4.4892690967642404E-3</v>
      </c>
      <c r="G233" s="33">
        <v>3.9873821239567115E-3</v>
      </c>
      <c r="H233" s="33">
        <v>7.2134406013651614E-3</v>
      </c>
      <c r="I233" s="33">
        <v>5.2355720205408025E-3</v>
      </c>
      <c r="J233" s="33">
        <v>6.1183813777383111E-3</v>
      </c>
      <c r="K233" s="33">
        <v>1.1062403457538608E-2</v>
      </c>
      <c r="L233" s="33">
        <v>1.5343563263664624E-2</v>
      </c>
      <c r="M233" s="33">
        <v>1.2779758426083188E-2</v>
      </c>
      <c r="N233" s="33">
        <v>1.8223711438591732E-2</v>
      </c>
      <c r="O233" s="33">
        <v>8.3912028783665587E-3</v>
      </c>
      <c r="P233" s="33">
        <v>9.9949714189382713E-3</v>
      </c>
      <c r="Q233" s="33">
        <v>1.7034048404356451E-2</v>
      </c>
      <c r="R233" s="33">
        <v>0.34360223303860732</v>
      </c>
      <c r="S233" s="33">
        <v>1.2502587925650326</v>
      </c>
      <c r="T233" s="33">
        <v>2.7977617472946383E-2</v>
      </c>
      <c r="U233" s="33">
        <v>8.276562365847509E-2</v>
      </c>
      <c r="V233" s="33">
        <v>1.8793738108086933E-2</v>
      </c>
      <c r="W233" s="33">
        <v>1.6400089740486401E-2</v>
      </c>
      <c r="X233" s="33">
        <v>1.4369145149581845E-2</v>
      </c>
      <c r="Y233" s="33">
        <v>1.0454014987751217E-2</v>
      </c>
      <c r="Z233" s="33">
        <v>2.143958497983578E-2</v>
      </c>
      <c r="AA233" s="33">
        <v>1.2510691034581354E-2</v>
      </c>
      <c r="AB233" s="33">
        <v>8.0257488501838496E-3</v>
      </c>
      <c r="AC233" s="33">
        <v>6.4417660921933777E-3</v>
      </c>
      <c r="AD233" s="33">
        <v>1.0093794087463845E-2</v>
      </c>
      <c r="AE233" s="33">
        <v>5.9909356762263668E-3</v>
      </c>
      <c r="AF233" s="33">
        <v>9.4032991551452148E-3</v>
      </c>
      <c r="AG233" s="33">
        <v>2.3301432995817459E-3</v>
      </c>
      <c r="AH233" s="33">
        <v>1.2316180686146016E-2</v>
      </c>
      <c r="AI233" s="33">
        <v>1.997764611992088E-2</v>
      </c>
      <c r="AJ233" s="33">
        <v>2.7227790730411905E-3</v>
      </c>
      <c r="AK233" s="33">
        <v>1.0140966494490413E-3</v>
      </c>
      <c r="AL233" s="33">
        <v>6.6500859381505813E-4</v>
      </c>
      <c r="AM233" s="33">
        <v>2.1105788644726286E-3</v>
      </c>
      <c r="AN233" s="33">
        <v>2.6987934871939537E-3</v>
      </c>
      <c r="AO233" s="33">
        <v>3.9612261925659649E-3</v>
      </c>
      <c r="AP233" s="33">
        <v>2.8762477164619776E-3</v>
      </c>
      <c r="AQ233" s="33">
        <v>5.1199158288551703E-3</v>
      </c>
      <c r="AR233" s="33">
        <v>4.7542734232745229E-3</v>
      </c>
      <c r="AS233" s="33">
        <v>5.2298907318695546E-3</v>
      </c>
      <c r="AT233" s="34">
        <v>0</v>
      </c>
      <c r="AX233" s="39">
        <v>0</v>
      </c>
      <c r="AY233" s="40">
        <v>4.9758171260247484E-3</v>
      </c>
      <c r="BC233" s="41">
        <v>2.2459206076260569</v>
      </c>
      <c r="BD233">
        <f t="shared" si="30"/>
        <v>1.219731272744792</v>
      </c>
      <c r="BG233" s="41">
        <f t="shared" si="31"/>
        <v>2.033149380048437</v>
      </c>
      <c r="BH233">
        <f t="shared" si="32"/>
        <v>1.1041778915008131</v>
      </c>
    </row>
    <row r="234" spans="1:60" x14ac:dyDescent="0.25">
      <c r="A234" s="18" t="s">
        <v>64</v>
      </c>
      <c r="B234" s="32">
        <v>4.4084698499842531E-3</v>
      </c>
      <c r="C234" s="33">
        <v>2.5903812168284381E-3</v>
      </c>
      <c r="D234" s="33">
        <v>2.576837021243714E-3</v>
      </c>
      <c r="E234" s="33">
        <v>1.2338297902933625E-2</v>
      </c>
      <c r="F234" s="33">
        <v>1.6288432136008078E-2</v>
      </c>
      <c r="G234" s="33">
        <v>5.1021343942056459E-3</v>
      </c>
      <c r="H234" s="33">
        <v>1.4654251025312079E-2</v>
      </c>
      <c r="I234" s="33">
        <v>8.6427147778546601E-3</v>
      </c>
      <c r="J234" s="33">
        <v>4.9432203890278897E-3</v>
      </c>
      <c r="K234" s="33">
        <v>1.1412692001415625E-2</v>
      </c>
      <c r="L234" s="33">
        <v>8.3773046904761089E-3</v>
      </c>
      <c r="M234" s="33">
        <v>6.6532575485566863E-3</v>
      </c>
      <c r="N234" s="33">
        <v>9.6158512832550235E-3</v>
      </c>
      <c r="O234" s="33">
        <v>1.4469781910970638E-2</v>
      </c>
      <c r="P234" s="33">
        <v>1.6120779659456897E-2</v>
      </c>
      <c r="Q234" s="33">
        <v>1.3853728290939766E-2</v>
      </c>
      <c r="R234" s="33">
        <v>2.1386057230728638E-2</v>
      </c>
      <c r="S234" s="33">
        <v>1.2872393032129639E-2</v>
      </c>
      <c r="T234" s="33">
        <v>1.1415540759349396</v>
      </c>
      <c r="U234" s="33">
        <v>3.05545049540119E-2</v>
      </c>
      <c r="V234" s="33">
        <v>3.2080148758577301E-2</v>
      </c>
      <c r="W234" s="33">
        <v>2.3561809649216437E-2</v>
      </c>
      <c r="X234" s="33">
        <v>1.3564049335071856E-2</v>
      </c>
      <c r="Y234" s="33">
        <v>1.5597542554758408E-2</v>
      </c>
      <c r="Z234" s="33">
        <v>1.2844689303920518E-2</v>
      </c>
      <c r="AA234" s="33">
        <v>9.3235722380865249E-3</v>
      </c>
      <c r="AB234" s="33">
        <v>5.2479584897063706E-3</v>
      </c>
      <c r="AC234" s="33">
        <v>5.8306501219840164E-3</v>
      </c>
      <c r="AD234" s="33">
        <v>9.45205129865909E-3</v>
      </c>
      <c r="AE234" s="33">
        <v>4.0406554946793754E-3</v>
      </c>
      <c r="AF234" s="33">
        <v>3.454574697943935E-3</v>
      </c>
      <c r="AG234" s="33">
        <v>2.5374579764167338E-3</v>
      </c>
      <c r="AH234" s="33">
        <v>2.2454988965513737E-2</v>
      </c>
      <c r="AI234" s="33">
        <v>3.3080847144186048E-3</v>
      </c>
      <c r="AJ234" s="33">
        <v>3.0104020740192548E-3</v>
      </c>
      <c r="AK234" s="33">
        <v>8.8775761137848232E-4</v>
      </c>
      <c r="AL234" s="33">
        <v>1.1406759482283696E-3</v>
      </c>
      <c r="AM234" s="33">
        <v>3.7072439547705376E-3</v>
      </c>
      <c r="AN234" s="33">
        <v>7.8681059485311931E-3</v>
      </c>
      <c r="AO234" s="33">
        <v>2.8051601810178727E-3</v>
      </c>
      <c r="AP234" s="33">
        <v>3.4096494973246141E-3</v>
      </c>
      <c r="AQ234" s="33">
        <v>4.7737314695988405E-3</v>
      </c>
      <c r="AR234" s="33">
        <v>1.2127297380274134E-2</v>
      </c>
      <c r="AS234" s="33">
        <v>1.34590749084007E-2</v>
      </c>
      <c r="AT234" s="34">
        <v>0</v>
      </c>
      <c r="AX234" s="39">
        <v>0</v>
      </c>
      <c r="AY234" s="40">
        <v>6.9988510668126912E-3</v>
      </c>
      <c r="BC234" s="41">
        <v>2.4572607011174292</v>
      </c>
      <c r="BD234">
        <f t="shared" si="30"/>
        <v>1.3345074230418885</v>
      </c>
      <c r="BG234" s="41">
        <f t="shared" si="31"/>
        <v>1.5749024978227759</v>
      </c>
      <c r="BH234">
        <f t="shared" si="32"/>
        <v>0.85530976544570869</v>
      </c>
    </row>
    <row r="235" spans="1:60" x14ac:dyDescent="0.25">
      <c r="A235" s="18" t="s">
        <v>65</v>
      </c>
      <c r="B235" s="32">
        <v>3.1919826935337858E-3</v>
      </c>
      <c r="C235" s="33">
        <v>3.5577904780938053E-3</v>
      </c>
      <c r="D235" s="33">
        <v>1.2791800574791744E-3</v>
      </c>
      <c r="E235" s="33">
        <v>3.8840600499578126E-3</v>
      </c>
      <c r="F235" s="33">
        <v>5.8436361583455183E-3</v>
      </c>
      <c r="G235" s="33">
        <v>6.0066012922102901E-3</v>
      </c>
      <c r="H235" s="33">
        <v>1.0529000300369495E-2</v>
      </c>
      <c r="I235" s="33">
        <v>8.3550318118069643E-3</v>
      </c>
      <c r="J235" s="33">
        <v>7.2017128208926775E-3</v>
      </c>
      <c r="K235" s="33">
        <v>5.7499868688685738E-3</v>
      </c>
      <c r="L235" s="33">
        <v>6.0754763834922352E-3</v>
      </c>
      <c r="M235" s="33">
        <v>5.42509509378026E-3</v>
      </c>
      <c r="N235" s="33">
        <v>1.1103013946550295E-2</v>
      </c>
      <c r="O235" s="33">
        <v>8.1588193715188533E-3</v>
      </c>
      <c r="P235" s="33">
        <v>1.0554060295109528E-2</v>
      </c>
      <c r="Q235" s="33">
        <v>2.5953302452360012E-2</v>
      </c>
      <c r="R235" s="33">
        <v>2.0878404764639334E-2</v>
      </c>
      <c r="S235" s="33">
        <v>1.427830258036158E-2</v>
      </c>
      <c r="T235" s="33">
        <v>2.4605274198381488E-2</v>
      </c>
      <c r="U235" s="33">
        <v>1.556846442404801</v>
      </c>
      <c r="V235" s="33">
        <v>1.7051101571974842E-2</v>
      </c>
      <c r="W235" s="33">
        <v>2.3976314013670709E-2</v>
      </c>
      <c r="X235" s="33">
        <v>4.1340717227279196E-3</v>
      </c>
      <c r="Y235" s="33">
        <v>4.0174837473117763E-3</v>
      </c>
      <c r="Z235" s="33">
        <v>7.7136811396245957E-3</v>
      </c>
      <c r="AA235" s="33">
        <v>2.323056147860833E-2</v>
      </c>
      <c r="AB235" s="33">
        <v>3.4513534788502609E-2</v>
      </c>
      <c r="AC235" s="33">
        <v>1.1085210269283918E-2</v>
      </c>
      <c r="AD235" s="33">
        <v>2.3717338533147846E-2</v>
      </c>
      <c r="AE235" s="33">
        <v>1.5422509347816499E-2</v>
      </c>
      <c r="AF235" s="33">
        <v>5.0314850247103457E-2</v>
      </c>
      <c r="AG235" s="33">
        <v>3.3276620506569269E-3</v>
      </c>
      <c r="AH235" s="33">
        <v>9.7619808234784781E-3</v>
      </c>
      <c r="AI235" s="33">
        <v>1.7882791667399874E-2</v>
      </c>
      <c r="AJ235" s="33">
        <v>1.7594725895539042E-3</v>
      </c>
      <c r="AK235" s="33">
        <v>1.8164237480535082E-3</v>
      </c>
      <c r="AL235" s="33">
        <v>7.7664642934318251E-4</v>
      </c>
      <c r="AM235" s="33">
        <v>2.4631404764647838E-3</v>
      </c>
      <c r="AN235" s="33">
        <v>5.3064844420764824E-3</v>
      </c>
      <c r="AO235" s="33">
        <v>6.8522956433183704E-3</v>
      </c>
      <c r="AP235" s="33">
        <v>2.5367983417679471E-3</v>
      </c>
      <c r="AQ235" s="33">
        <v>3.7920558992162326E-3</v>
      </c>
      <c r="AR235" s="33">
        <v>4.5301213967043888E-3</v>
      </c>
      <c r="AS235" s="33">
        <v>4.4626398942141784E-3</v>
      </c>
      <c r="AT235" s="34">
        <v>0</v>
      </c>
      <c r="AX235" s="39">
        <v>0</v>
      </c>
      <c r="AY235" s="40">
        <v>6.7497731716275912E-3</v>
      </c>
      <c r="BC235" s="41">
        <v>2.6142837856544938</v>
      </c>
      <c r="BD235">
        <f t="shared" si="30"/>
        <v>1.4197846880094824</v>
      </c>
      <c r="BG235" s="41">
        <f t="shared" si="31"/>
        <v>2.0199223442845731</v>
      </c>
      <c r="BH235">
        <f t="shared" si="32"/>
        <v>1.0969944545119377</v>
      </c>
    </row>
    <row r="236" spans="1:60" x14ac:dyDescent="0.25">
      <c r="A236" s="18" t="s">
        <v>66</v>
      </c>
      <c r="B236" s="32">
        <v>3.9553312743408216E-4</v>
      </c>
      <c r="C236" s="33">
        <v>2.7245381952103911E-3</v>
      </c>
      <c r="D236" s="33">
        <v>1.5443766963710583E-4</v>
      </c>
      <c r="E236" s="33">
        <v>6.1200157620146494E-4</v>
      </c>
      <c r="F236" s="33">
        <v>4.8984541611658827E-4</v>
      </c>
      <c r="G236" s="33">
        <v>8.662964751211473E-4</v>
      </c>
      <c r="H236" s="33">
        <v>1.0644666744778822E-3</v>
      </c>
      <c r="I236" s="33">
        <v>1.3979354237662568E-3</v>
      </c>
      <c r="J236" s="33">
        <v>8.0197048235928277E-4</v>
      </c>
      <c r="K236" s="33">
        <v>6.8382755540598078E-4</v>
      </c>
      <c r="L236" s="33">
        <v>7.0648167333821614E-4</v>
      </c>
      <c r="M236" s="33">
        <v>6.1018008983433506E-4</v>
      </c>
      <c r="N236" s="33">
        <v>1.1354051736059908E-3</v>
      </c>
      <c r="O236" s="33">
        <v>8.6132050984802757E-4</v>
      </c>
      <c r="P236" s="33">
        <v>9.6782083981726184E-4</v>
      </c>
      <c r="Q236" s="33">
        <v>1.466351873983706E-3</v>
      </c>
      <c r="R236" s="33">
        <v>2.7382634802758624E-3</v>
      </c>
      <c r="S236" s="33">
        <v>1.9203303410086181E-3</v>
      </c>
      <c r="T236" s="33">
        <v>1.8663591626131635E-3</v>
      </c>
      <c r="U236" s="33">
        <v>1.6071193610063172E-3</v>
      </c>
      <c r="V236" s="33">
        <v>1.1446497322544507</v>
      </c>
      <c r="W236" s="33">
        <v>6.9803055411722485E-3</v>
      </c>
      <c r="X236" s="33">
        <v>4.4834259205580777E-4</v>
      </c>
      <c r="Y236" s="33">
        <v>4.4730290463739088E-4</v>
      </c>
      <c r="Z236" s="33">
        <v>8.824559009499985E-4</v>
      </c>
      <c r="AA236" s="33">
        <v>2.3547277756534009E-3</v>
      </c>
      <c r="AB236" s="33">
        <v>2.5874238398924283E-3</v>
      </c>
      <c r="AC236" s="33">
        <v>5.0020981934062788E-3</v>
      </c>
      <c r="AD236" s="33">
        <v>1.4005615954296519E-2</v>
      </c>
      <c r="AE236" s="33">
        <v>1.425360101828251E-3</v>
      </c>
      <c r="AF236" s="33">
        <v>3.4965471256048557E-4</v>
      </c>
      <c r="AG236" s="33">
        <v>4.1535914297619606E-4</v>
      </c>
      <c r="AH236" s="33">
        <v>1.3895580095523627E-3</v>
      </c>
      <c r="AI236" s="33">
        <v>3.9055045340285831E-4</v>
      </c>
      <c r="AJ236" s="33">
        <v>8.5054346013472041E-5</v>
      </c>
      <c r="AK236" s="33">
        <v>1.7658392119647925E-4</v>
      </c>
      <c r="AL236" s="33">
        <v>6.1416946158258535E-5</v>
      </c>
      <c r="AM236" s="33">
        <v>1.6378479980816153E-4</v>
      </c>
      <c r="AN236" s="33">
        <v>2.7160598765545759E-4</v>
      </c>
      <c r="AO236" s="33">
        <v>6.224448088546255E-3</v>
      </c>
      <c r="AP236" s="33">
        <v>2.8278386768190939E-4</v>
      </c>
      <c r="AQ236" s="33">
        <v>3.803172520558479E-4</v>
      </c>
      <c r="AR236" s="33">
        <v>5.9797856862629144E-4</v>
      </c>
      <c r="AS236" s="33">
        <v>6.8651623599841447E-4</v>
      </c>
      <c r="AT236" s="34">
        <v>0</v>
      </c>
      <c r="AX236" s="39">
        <v>0</v>
      </c>
      <c r="AY236" s="40">
        <v>3.1200713226444731E-3</v>
      </c>
      <c r="BC236" s="41">
        <v>1.918701357494812</v>
      </c>
      <c r="BD236">
        <f t="shared" si="30"/>
        <v>1.0420226079442805</v>
      </c>
      <c r="BG236" s="41">
        <f t="shared" si="31"/>
        <v>1.2133294624916375</v>
      </c>
      <c r="BH236">
        <f t="shared" si="32"/>
        <v>0.65894399139423487</v>
      </c>
    </row>
    <row r="237" spans="1:60" x14ac:dyDescent="0.25">
      <c r="A237" s="18" t="s">
        <v>67</v>
      </c>
      <c r="B237" s="32">
        <v>3.0072270735155078E-3</v>
      </c>
      <c r="C237" s="33">
        <v>5.3454464744290709E-3</v>
      </c>
      <c r="D237" s="33">
        <v>7.9643398496097577E-4</v>
      </c>
      <c r="E237" s="33">
        <v>3.5278599694279649E-3</v>
      </c>
      <c r="F237" s="33">
        <v>4.7434458067237509E-3</v>
      </c>
      <c r="G237" s="33">
        <v>3.6679595216778829E-3</v>
      </c>
      <c r="H237" s="33">
        <v>9.5231615652159613E-3</v>
      </c>
      <c r="I237" s="33">
        <v>2.0032522194788224E-2</v>
      </c>
      <c r="J237" s="33">
        <v>6.2280568366741874E-3</v>
      </c>
      <c r="K237" s="33">
        <v>1.7236920177526947E-3</v>
      </c>
      <c r="L237" s="33">
        <v>4.3513222385815238E-3</v>
      </c>
      <c r="M237" s="33">
        <v>3.7292576153307791E-3</v>
      </c>
      <c r="N237" s="33">
        <v>6.4985488989531669E-3</v>
      </c>
      <c r="O237" s="33">
        <v>5.8608024215445614E-3</v>
      </c>
      <c r="P237" s="33">
        <v>6.4387766962221175E-3</v>
      </c>
      <c r="Q237" s="33">
        <v>7.7754850598347235E-3</v>
      </c>
      <c r="R237" s="33">
        <v>9.0811935660085868E-3</v>
      </c>
      <c r="S237" s="33">
        <v>7.5624587189628018E-3</v>
      </c>
      <c r="T237" s="33">
        <v>1.0760041145146608E-2</v>
      </c>
      <c r="U237" s="33">
        <v>5.3758943855617613E-3</v>
      </c>
      <c r="V237" s="33">
        <v>1.0257621682360453E-2</v>
      </c>
      <c r="W237" s="33">
        <v>1.0193128119916699</v>
      </c>
      <c r="X237" s="33">
        <v>3.0904110715106107E-3</v>
      </c>
      <c r="Y237" s="33">
        <v>3.1237685504424489E-3</v>
      </c>
      <c r="Z237" s="33">
        <v>5.8326366867709253E-3</v>
      </c>
      <c r="AA237" s="33">
        <v>2.8730895045360784E-3</v>
      </c>
      <c r="AB237" s="33">
        <v>4.4229225529921808E-3</v>
      </c>
      <c r="AC237" s="33">
        <v>5.2581365520420944E-3</v>
      </c>
      <c r="AD237" s="33">
        <v>1.0815372266031976E-2</v>
      </c>
      <c r="AE237" s="33">
        <v>3.5289119388733632E-3</v>
      </c>
      <c r="AF237" s="33">
        <v>5.7130212678085631E-3</v>
      </c>
      <c r="AG237" s="33">
        <v>3.5023178032688755E-3</v>
      </c>
      <c r="AH237" s="33">
        <v>9.2069265461365117E-3</v>
      </c>
      <c r="AI237" s="33">
        <v>5.0693059950266805E-3</v>
      </c>
      <c r="AJ237" s="33">
        <v>1.388616833399473E-3</v>
      </c>
      <c r="AK237" s="33">
        <v>8.8783064249805903E-4</v>
      </c>
      <c r="AL237" s="33">
        <v>5.0833971827001596E-4</v>
      </c>
      <c r="AM237" s="33">
        <v>1.9176291657535033E-3</v>
      </c>
      <c r="AN237" s="33">
        <v>5.6606836718525715E-3</v>
      </c>
      <c r="AO237" s="33">
        <v>1.8962995124956169E-3</v>
      </c>
      <c r="AP237" s="33">
        <v>1.6991799672502483E-3</v>
      </c>
      <c r="AQ237" s="33">
        <v>2.0749084839854146E-3</v>
      </c>
      <c r="AR237" s="33">
        <v>7.1985109441145244E-3</v>
      </c>
      <c r="AS237" s="33">
        <v>4.3131587786250812E-3</v>
      </c>
      <c r="AT237" s="34">
        <v>0</v>
      </c>
      <c r="AX237" s="39">
        <v>0</v>
      </c>
      <c r="AY237" s="40">
        <v>8.3526735479445783E-3</v>
      </c>
      <c r="BC237" s="41">
        <v>1.9369715699535874</v>
      </c>
      <c r="BD237">
        <f t="shared" si="30"/>
        <v>1.0519449308527535</v>
      </c>
      <c r="BG237" s="41">
        <f t="shared" si="31"/>
        <v>1.2455819983190277</v>
      </c>
      <c r="BH237">
        <f t="shared" si="32"/>
        <v>0.67645993850314512</v>
      </c>
    </row>
    <row r="238" spans="1:60" x14ac:dyDescent="0.25">
      <c r="A238" s="18" t="s">
        <v>68</v>
      </c>
      <c r="B238" s="32">
        <v>1.9082777641874087E-2</v>
      </c>
      <c r="C238" s="33">
        <v>7.6630843140301306E-3</v>
      </c>
      <c r="D238" s="33">
        <v>6.7155282482588138E-3</v>
      </c>
      <c r="E238" s="33">
        <v>1.9764761609239151E-2</v>
      </c>
      <c r="F238" s="33">
        <v>1.6850184230334277E-2</v>
      </c>
      <c r="G238" s="33">
        <v>2.1712591034383211E-2</v>
      </c>
      <c r="H238" s="33">
        <v>3.0182477133267199E-2</v>
      </c>
      <c r="I238" s="33">
        <v>2.3643136822805881E-2</v>
      </c>
      <c r="J238" s="33">
        <v>2.4561966715420311E-2</v>
      </c>
      <c r="K238" s="33">
        <v>2.3123852760454634E-2</v>
      </c>
      <c r="L238" s="33">
        <v>2.8401978379126631E-2</v>
      </c>
      <c r="M238" s="33">
        <v>1.9872363402029782E-2</v>
      </c>
      <c r="N238" s="33">
        <v>6.2605727012594273E-2</v>
      </c>
      <c r="O238" s="33">
        <v>6.9879970974604674E-2</v>
      </c>
      <c r="P238" s="33">
        <v>4.0721070198549751E-2</v>
      </c>
      <c r="Q238" s="33">
        <v>3.0560263868785E-2</v>
      </c>
      <c r="R238" s="33">
        <v>4.251062910118239E-2</v>
      </c>
      <c r="S238" s="33">
        <v>2.7088233721803114E-2</v>
      </c>
      <c r="T238" s="33">
        <v>3.0727650375662503E-2</v>
      </c>
      <c r="U238" s="33">
        <v>4.2504491699306757E-2</v>
      </c>
      <c r="V238" s="33">
        <v>1.4809919672217869E-2</v>
      </c>
      <c r="W238" s="33">
        <v>2.1858035842487727E-2</v>
      </c>
      <c r="X238" s="33">
        <v>1.0296272834438871</v>
      </c>
      <c r="Y238" s="33">
        <v>1.4129622423118979E-2</v>
      </c>
      <c r="Z238" s="33">
        <v>2.7525345437051173E-2</v>
      </c>
      <c r="AA238" s="33">
        <v>2.080583870072868E-2</v>
      </c>
      <c r="AB238" s="33">
        <v>1.9922321026981049E-2</v>
      </c>
      <c r="AC238" s="33">
        <v>1.3874534644461778E-2</v>
      </c>
      <c r="AD238" s="33">
        <v>2.3767971697666198E-2</v>
      </c>
      <c r="AE238" s="33">
        <v>2.2410726191889455E-2</v>
      </c>
      <c r="AF238" s="33">
        <v>2.0550485295329234E-2</v>
      </c>
      <c r="AG238" s="33">
        <v>2.9318707741983412E-2</v>
      </c>
      <c r="AH238" s="33">
        <v>5.2746635057911953E-2</v>
      </c>
      <c r="AI238" s="33">
        <v>3.9298815243937579E-2</v>
      </c>
      <c r="AJ238" s="33">
        <v>3.2879653756084405E-3</v>
      </c>
      <c r="AK238" s="33">
        <v>8.9756044703562694E-3</v>
      </c>
      <c r="AL238" s="33">
        <v>2.5502467991254875E-3</v>
      </c>
      <c r="AM238" s="33">
        <v>3.5330387985999484E-3</v>
      </c>
      <c r="AN238" s="33">
        <v>4.3642404425535053E-3</v>
      </c>
      <c r="AO238" s="33">
        <v>2.7456389704138186E-2</v>
      </c>
      <c r="AP238" s="33">
        <v>1.6990681716662962E-2</v>
      </c>
      <c r="AQ238" s="33">
        <v>2.2812158570078851E-2</v>
      </c>
      <c r="AR238" s="33">
        <v>3.2175731653570024E-2</v>
      </c>
      <c r="AS238" s="33">
        <v>2.2067220261511662E-2</v>
      </c>
      <c r="AT238" s="34">
        <v>0</v>
      </c>
      <c r="AX238" s="39">
        <v>0</v>
      </c>
      <c r="AY238" s="40">
        <v>2.674586195590422E-2</v>
      </c>
      <c r="BC238" s="41">
        <v>1.6250229025591019</v>
      </c>
      <c r="BD238">
        <f t="shared" si="30"/>
        <v>0.88252952773469762</v>
      </c>
      <c r="BG238" s="41">
        <f t="shared" si="31"/>
        <v>2.0830322594555701</v>
      </c>
      <c r="BH238">
        <f t="shared" si="32"/>
        <v>1.1312686567668879</v>
      </c>
    </row>
    <row r="239" spans="1:60" x14ac:dyDescent="0.25">
      <c r="A239" s="18" t="s">
        <v>69</v>
      </c>
      <c r="B239" s="32">
        <v>3.3054372598709772E-3</v>
      </c>
      <c r="C239" s="33">
        <v>1.3302865177139294E-3</v>
      </c>
      <c r="D239" s="33">
        <v>2.4453655812827141E-4</v>
      </c>
      <c r="E239" s="33">
        <v>3.2332233019765908E-3</v>
      </c>
      <c r="F239" s="33">
        <v>9.9050381281663648E-4</v>
      </c>
      <c r="G239" s="33">
        <v>3.7176594367512531E-3</v>
      </c>
      <c r="H239" s="33">
        <v>4.7921592623373374E-3</v>
      </c>
      <c r="I239" s="33">
        <v>3.5727780165293456E-3</v>
      </c>
      <c r="J239" s="33">
        <v>3.5068093310538068E-3</v>
      </c>
      <c r="K239" s="33">
        <v>1.0343479201925048E-3</v>
      </c>
      <c r="L239" s="33">
        <v>4.6078303157048852E-3</v>
      </c>
      <c r="M239" s="33">
        <v>4.0353078653721699E-3</v>
      </c>
      <c r="N239" s="33">
        <v>8.8330099638063101E-3</v>
      </c>
      <c r="O239" s="33">
        <v>9.4325185899107947E-3</v>
      </c>
      <c r="P239" s="33">
        <v>7.5669167500224451E-3</v>
      </c>
      <c r="Q239" s="33">
        <v>5.3164009051528544E-3</v>
      </c>
      <c r="R239" s="33">
        <v>6.2861397966102496E-3</v>
      </c>
      <c r="S239" s="33">
        <v>4.1226775059432985E-3</v>
      </c>
      <c r="T239" s="33">
        <v>5.2468041331862839E-3</v>
      </c>
      <c r="U239" s="33">
        <v>6.0032810364041237E-3</v>
      </c>
      <c r="V239" s="33">
        <v>2.6384276379917918E-3</v>
      </c>
      <c r="W239" s="33">
        <v>2.6117068765975186E-3</v>
      </c>
      <c r="X239" s="33">
        <v>3.8643319773229512E-3</v>
      </c>
      <c r="Y239" s="33">
        <v>1.0095238751702744</v>
      </c>
      <c r="Z239" s="33">
        <v>4.4978783765970577E-3</v>
      </c>
      <c r="AA239" s="33">
        <v>3.5483987497188798E-3</v>
      </c>
      <c r="AB239" s="33">
        <v>2.7074096057380882E-3</v>
      </c>
      <c r="AC239" s="33">
        <v>3.6628707292006338E-3</v>
      </c>
      <c r="AD239" s="33">
        <v>3.4817017522642173E-3</v>
      </c>
      <c r="AE239" s="33">
        <v>3.8790746510244524E-3</v>
      </c>
      <c r="AF239" s="33">
        <v>6.5486194599968543E-3</v>
      </c>
      <c r="AG239" s="33">
        <v>5.1110948940159169E-3</v>
      </c>
      <c r="AH239" s="33">
        <v>6.5217127968342937E-3</v>
      </c>
      <c r="AI239" s="33">
        <v>6.0377895242118068E-3</v>
      </c>
      <c r="AJ239" s="33">
        <v>4.9184085966834108E-4</v>
      </c>
      <c r="AK239" s="33">
        <v>1.5613817736345277E-3</v>
      </c>
      <c r="AL239" s="33">
        <v>4.7702543558707548E-4</v>
      </c>
      <c r="AM239" s="33">
        <v>5.6765883244216866E-4</v>
      </c>
      <c r="AN239" s="33">
        <v>7.7355749229506725E-4</v>
      </c>
      <c r="AO239" s="33">
        <v>5.0967458446028856E-3</v>
      </c>
      <c r="AP239" s="33">
        <v>2.9415538472158435E-3</v>
      </c>
      <c r="AQ239" s="33">
        <v>3.9907721243435832E-3</v>
      </c>
      <c r="AR239" s="33">
        <v>5.7906242607294245E-3</v>
      </c>
      <c r="AS239" s="33">
        <v>4.6388901089988591E-3</v>
      </c>
      <c r="AT239" s="34">
        <v>0</v>
      </c>
      <c r="AX239" s="39">
        <v>0</v>
      </c>
      <c r="AY239" s="40">
        <v>4.6357237775849066E-3</v>
      </c>
      <c r="BC239" s="41">
        <v>1.510757251787235</v>
      </c>
      <c r="BD239">
        <f t="shared" si="30"/>
        <v>0.82047328800220809</v>
      </c>
      <c r="BG239" s="41">
        <f t="shared" si="31"/>
        <v>1.1781435710607906</v>
      </c>
      <c r="BH239">
        <f t="shared" si="32"/>
        <v>0.63983497570067893</v>
      </c>
    </row>
    <row r="240" spans="1:60" x14ac:dyDescent="0.25">
      <c r="A240" s="18" t="s">
        <v>70</v>
      </c>
      <c r="B240" s="32">
        <v>3.9224765886509581E-3</v>
      </c>
      <c r="C240" s="33">
        <v>1.9193005682417909E-3</v>
      </c>
      <c r="D240" s="33">
        <v>1.7574685835128891E-3</v>
      </c>
      <c r="E240" s="33">
        <v>6.1966524375033829E-3</v>
      </c>
      <c r="F240" s="33">
        <v>1.1071754050235914E-2</v>
      </c>
      <c r="G240" s="33">
        <v>4.1831869691411928E-3</v>
      </c>
      <c r="H240" s="33">
        <v>5.2425101956343634E-3</v>
      </c>
      <c r="I240" s="33">
        <v>6.5197811970501623E-3</v>
      </c>
      <c r="J240" s="33">
        <v>3.8675941293087514E-3</v>
      </c>
      <c r="K240" s="33">
        <v>3.0042986188449552E-3</v>
      </c>
      <c r="L240" s="33">
        <v>4.8454785578936135E-3</v>
      </c>
      <c r="M240" s="33">
        <v>4.014289249633666E-3</v>
      </c>
      <c r="N240" s="33">
        <v>5.8560229025889235E-3</v>
      </c>
      <c r="O240" s="33">
        <v>6.3589362483696156E-3</v>
      </c>
      <c r="P240" s="33">
        <v>4.2309755078071823E-3</v>
      </c>
      <c r="Q240" s="33">
        <v>4.3736681321879635E-3</v>
      </c>
      <c r="R240" s="33">
        <v>8.3558356566248698E-3</v>
      </c>
      <c r="S240" s="33">
        <v>5.8445807126014417E-3</v>
      </c>
      <c r="T240" s="33">
        <v>6.5442274044758197E-3</v>
      </c>
      <c r="U240" s="33">
        <v>1.4146181685297873E-2</v>
      </c>
      <c r="V240" s="33">
        <v>7.3156036896695224E-3</v>
      </c>
      <c r="W240" s="33">
        <v>6.0271740181747904E-3</v>
      </c>
      <c r="X240" s="33">
        <v>8.8486008521904292E-3</v>
      </c>
      <c r="Y240" s="33">
        <v>6.9291181638636672E-3</v>
      </c>
      <c r="Z240" s="33">
        <v>1.0045892295438241</v>
      </c>
      <c r="AA240" s="33">
        <v>6.7521171335901235E-3</v>
      </c>
      <c r="AB240" s="33">
        <v>4.5042422367854639E-3</v>
      </c>
      <c r="AC240" s="33">
        <v>4.0000071126078318E-3</v>
      </c>
      <c r="AD240" s="33">
        <v>6.5009112067372071E-3</v>
      </c>
      <c r="AE240" s="33">
        <v>5.6394741298659151E-3</v>
      </c>
      <c r="AF240" s="33">
        <v>3.8696546805640736E-3</v>
      </c>
      <c r="AG240" s="33">
        <v>2.9062103146208383E-3</v>
      </c>
      <c r="AH240" s="33">
        <v>8.9342950560343908E-3</v>
      </c>
      <c r="AI240" s="33">
        <v>4.5941791227386919E-3</v>
      </c>
      <c r="AJ240" s="33">
        <v>2.0161485739353798E-3</v>
      </c>
      <c r="AK240" s="33">
        <v>7.7523995788985438E-3</v>
      </c>
      <c r="AL240" s="33">
        <v>3.1697171450711099E-3</v>
      </c>
      <c r="AM240" s="33">
        <v>1.9250552596873716E-3</v>
      </c>
      <c r="AN240" s="33">
        <v>2.2051411961252288E-3</v>
      </c>
      <c r="AO240" s="33">
        <v>1.0500663439472192E-2</v>
      </c>
      <c r="AP240" s="33">
        <v>6.1643151846435375E-3</v>
      </c>
      <c r="AQ240" s="33">
        <v>6.2085759158684306E-3</v>
      </c>
      <c r="AR240" s="33">
        <v>5.4608840208913937E-3</v>
      </c>
      <c r="AS240" s="33">
        <v>4.2258865892265685E-3</v>
      </c>
      <c r="AT240" s="34">
        <v>0</v>
      </c>
      <c r="AX240" s="39">
        <v>0</v>
      </c>
      <c r="AY240" s="40">
        <v>5.841777156892749E-3</v>
      </c>
      <c r="BC240" s="41">
        <v>2.0712389451464803</v>
      </c>
      <c r="BD240">
        <f t="shared" si="30"/>
        <v>1.1248638558922435</v>
      </c>
      <c r="BG240" s="41">
        <f t="shared" si="31"/>
        <v>1.2432948235606924</v>
      </c>
      <c r="BH240">
        <f t="shared" si="32"/>
        <v>0.67521780261931141</v>
      </c>
    </row>
    <row r="241" spans="1:60" x14ac:dyDescent="0.25">
      <c r="A241" s="18" t="s">
        <v>71</v>
      </c>
      <c r="B241" s="32">
        <v>6.6162526580866382E-2</v>
      </c>
      <c r="C241" s="33">
        <v>5.8323172716718184E-2</v>
      </c>
      <c r="D241" s="33">
        <v>1.1923462073032161E-2</v>
      </c>
      <c r="E241" s="33">
        <v>4.1121428120437911E-2</v>
      </c>
      <c r="F241" s="33">
        <v>4.0104216668825098E-2</v>
      </c>
      <c r="G241" s="33">
        <v>0.11985886467944581</v>
      </c>
      <c r="H241" s="33">
        <v>0.20241367143014571</v>
      </c>
      <c r="I241" s="33">
        <v>0.13671450154100925</v>
      </c>
      <c r="J241" s="33">
        <v>0.12807581801290013</v>
      </c>
      <c r="K241" s="33">
        <v>8.6049128680947481E-2</v>
      </c>
      <c r="L241" s="33">
        <v>8.5843047335718056E-2</v>
      </c>
      <c r="M241" s="33">
        <v>8.6919394754736631E-2</v>
      </c>
      <c r="N241" s="33">
        <v>0.20834852214064287</v>
      </c>
      <c r="O241" s="33">
        <v>0.10028285231022468</v>
      </c>
      <c r="P241" s="33">
        <v>0.11634522000979809</v>
      </c>
      <c r="Q241" s="33">
        <v>0.13523149190964273</v>
      </c>
      <c r="R241" s="33">
        <v>0.22561405088316558</v>
      </c>
      <c r="S241" s="33">
        <v>0.13813140386139214</v>
      </c>
      <c r="T241" s="33">
        <v>0.19182084699210275</v>
      </c>
      <c r="U241" s="33">
        <v>0.22078437860005531</v>
      </c>
      <c r="V241" s="33">
        <v>9.4917064909184626E-2</v>
      </c>
      <c r="W241" s="33">
        <v>0.11704823458256049</v>
      </c>
      <c r="X241" s="33">
        <v>4.0919915453841729E-2</v>
      </c>
      <c r="Y241" s="33">
        <v>3.6593936592038703E-2</v>
      </c>
      <c r="Z241" s="33">
        <v>0.10080318302794546</v>
      </c>
      <c r="AA241" s="33">
        <v>1.0541790716667137</v>
      </c>
      <c r="AB241" s="33">
        <v>9.8329996598021024E-2</v>
      </c>
      <c r="AC241" s="33">
        <v>9.6608186122501868E-2</v>
      </c>
      <c r="AD241" s="33">
        <v>0.16569268925886133</v>
      </c>
      <c r="AE241" s="33">
        <v>5.0074809042571174E-2</v>
      </c>
      <c r="AF241" s="33">
        <v>5.002982053929371E-2</v>
      </c>
      <c r="AG241" s="33">
        <v>6.1712936839132031E-2</v>
      </c>
      <c r="AH241" s="33">
        <v>0.1060510117299308</v>
      </c>
      <c r="AI241" s="33">
        <v>4.0711723626781438E-2</v>
      </c>
      <c r="AJ241" s="33">
        <v>1.0524541476571059E-2</v>
      </c>
      <c r="AK241" s="33">
        <v>9.4610115091176162E-3</v>
      </c>
      <c r="AL241" s="33">
        <v>4.9809299818011086E-3</v>
      </c>
      <c r="AM241" s="33">
        <v>1.2834395567403092E-2</v>
      </c>
      <c r="AN241" s="33">
        <v>2.0887828404152944E-2</v>
      </c>
      <c r="AO241" s="33">
        <v>8.3301811303662876E-2</v>
      </c>
      <c r="AP241" s="33">
        <v>2.2341744634734647E-2</v>
      </c>
      <c r="AQ241" s="33">
        <v>3.5817620594282229E-2</v>
      </c>
      <c r="AR241" s="33">
        <v>4.7786492837900825E-2</v>
      </c>
      <c r="AS241" s="33">
        <v>4.7801657498887644E-2</v>
      </c>
      <c r="AT241" s="34">
        <v>0</v>
      </c>
      <c r="AX241" s="39">
        <v>0</v>
      </c>
      <c r="AY241" s="40">
        <v>0.12448569929758457</v>
      </c>
      <c r="BC241" s="41">
        <v>1.5767787025250233</v>
      </c>
      <c r="BD241">
        <f t="shared" si="30"/>
        <v>0.85632870865395538</v>
      </c>
      <c r="BG241" s="41">
        <f t="shared" si="31"/>
        <v>4.8094786130997011</v>
      </c>
      <c r="BH241">
        <f t="shared" si="32"/>
        <v>2.6119674266650135</v>
      </c>
    </row>
    <row r="242" spans="1:60" x14ac:dyDescent="0.25">
      <c r="A242" s="18" t="s">
        <v>72</v>
      </c>
      <c r="B242" s="32">
        <v>2.0022583534082625E-2</v>
      </c>
      <c r="C242" s="33">
        <v>1.860563481378686E-2</v>
      </c>
      <c r="D242" s="33">
        <v>7.4859451903288143E-3</v>
      </c>
      <c r="E242" s="33">
        <v>2.3662682924767656E-2</v>
      </c>
      <c r="F242" s="33">
        <v>1.8355917651806952E-2</v>
      </c>
      <c r="G242" s="33">
        <v>3.206641034293322E-2</v>
      </c>
      <c r="H242" s="33">
        <v>4.4997688447101829E-2</v>
      </c>
      <c r="I242" s="33">
        <v>4.3214154730001036E-2</v>
      </c>
      <c r="J242" s="33">
        <v>5.0503024973310003E-2</v>
      </c>
      <c r="K242" s="33">
        <v>7.017141038920241E-2</v>
      </c>
      <c r="L242" s="33">
        <v>4.7693370441964304E-2</v>
      </c>
      <c r="M242" s="33">
        <v>2.9111416261563654E-2</v>
      </c>
      <c r="N242" s="33">
        <v>6.4955725545551346E-2</v>
      </c>
      <c r="O242" s="33">
        <v>4.3202589795162449E-2</v>
      </c>
      <c r="P242" s="33">
        <v>5.2908565702336992E-2</v>
      </c>
      <c r="Q242" s="33">
        <v>5.3130697084367927E-2</v>
      </c>
      <c r="R242" s="33">
        <v>5.8036645546194088E-2</v>
      </c>
      <c r="S242" s="33">
        <v>4.6929733176831391E-2</v>
      </c>
      <c r="T242" s="33">
        <v>5.5339848237047719E-2</v>
      </c>
      <c r="U242" s="33">
        <v>2.9633760694354562E-2</v>
      </c>
      <c r="V242" s="33">
        <v>2.8642363816048441E-2</v>
      </c>
      <c r="W242" s="33">
        <v>3.3580120987697096E-2</v>
      </c>
      <c r="X242" s="33">
        <v>2.8794184259740681E-2</v>
      </c>
      <c r="Y242" s="33">
        <v>2.3681252605235754E-2</v>
      </c>
      <c r="Z242" s="33">
        <v>3.8010028610972808E-2</v>
      </c>
      <c r="AA242" s="33">
        <v>1.9537999721034698E-2</v>
      </c>
      <c r="AB242" s="33">
        <v>1.0317599913810875</v>
      </c>
      <c r="AC242" s="33">
        <v>3.3360419837533815E-2</v>
      </c>
      <c r="AD242" s="33">
        <v>5.325033037713274E-2</v>
      </c>
      <c r="AE242" s="33">
        <v>1.759877374707243E-2</v>
      </c>
      <c r="AF242" s="33">
        <v>1.3654162939657627E-2</v>
      </c>
      <c r="AG242" s="33">
        <v>1.5711943533993043E-2</v>
      </c>
      <c r="AH242" s="33">
        <v>4.7485461982006316E-2</v>
      </c>
      <c r="AI242" s="33">
        <v>1.0242339108357413E-2</v>
      </c>
      <c r="AJ242" s="33">
        <v>2.6076598142384367E-3</v>
      </c>
      <c r="AK242" s="33">
        <v>4.6391095200115882E-3</v>
      </c>
      <c r="AL242" s="33">
        <v>1.4170078012432522E-3</v>
      </c>
      <c r="AM242" s="33">
        <v>3.3759465456668636E-3</v>
      </c>
      <c r="AN242" s="33">
        <v>4.9702627293097597E-3</v>
      </c>
      <c r="AO242" s="33">
        <v>1.3795217713926177E-2</v>
      </c>
      <c r="AP242" s="33">
        <v>1.0174170703920796E-2</v>
      </c>
      <c r="AQ242" s="33">
        <v>1.2404138687138218E-2</v>
      </c>
      <c r="AR242" s="33">
        <v>2.2513441731846037E-2</v>
      </c>
      <c r="AS242" s="33">
        <v>2.3597460015934386E-2</v>
      </c>
      <c r="AT242" s="34">
        <v>0</v>
      </c>
      <c r="AX242" s="39">
        <v>0</v>
      </c>
      <c r="AY242" s="40">
        <v>3.8628218347869489E-2</v>
      </c>
      <c r="BC242" s="41">
        <v>1.8287602764806794</v>
      </c>
      <c r="BD242">
        <f t="shared" si="30"/>
        <v>0.99317673652526905</v>
      </c>
      <c r="BG242" s="41">
        <f t="shared" si="31"/>
        <v>2.304831593653502</v>
      </c>
      <c r="BH242">
        <f t="shared" si="32"/>
        <v>1.2517250893213527</v>
      </c>
    </row>
    <row r="243" spans="1:60" x14ac:dyDescent="0.25">
      <c r="A243" s="18" t="s">
        <v>73</v>
      </c>
      <c r="B243" s="32">
        <v>1.4883945314671826E-2</v>
      </c>
      <c r="C243" s="33">
        <v>2.5807417932010541E-2</v>
      </c>
      <c r="D243" s="33">
        <v>1.7669282249700873E-2</v>
      </c>
      <c r="E243" s="33">
        <v>6.5054078140042451E-2</v>
      </c>
      <c r="F243" s="33">
        <v>1.8180792794385916E-2</v>
      </c>
      <c r="G243" s="33">
        <v>1.8756151276200811E-2</v>
      </c>
      <c r="H243" s="33">
        <v>1.940665138253966E-2</v>
      </c>
      <c r="I243" s="33">
        <v>3.2462282020618648E-2</v>
      </c>
      <c r="J243" s="33">
        <v>2.6732893108917924E-2</v>
      </c>
      <c r="K243" s="33">
        <v>4.5563155484723623E-2</v>
      </c>
      <c r="L243" s="33">
        <v>3.3787310724953494E-2</v>
      </c>
      <c r="M243" s="33">
        <v>1.8329475553025349E-2</v>
      </c>
      <c r="N243" s="33">
        <v>3.3630933741186406E-2</v>
      </c>
      <c r="O243" s="33">
        <v>3.0914161061436289E-2</v>
      </c>
      <c r="P243" s="33">
        <v>1.4896236822172502E-2</v>
      </c>
      <c r="Q243" s="33">
        <v>2.3334596125067022E-2</v>
      </c>
      <c r="R243" s="33">
        <v>5.4759532264620846E-2</v>
      </c>
      <c r="S243" s="33">
        <v>3.2795075039783579E-2</v>
      </c>
      <c r="T243" s="33">
        <v>2.6925950399640179E-2</v>
      </c>
      <c r="U243" s="33">
        <v>1.7197067745909671E-2</v>
      </c>
      <c r="V243" s="33">
        <v>1.3651492412237782E-2</v>
      </c>
      <c r="W243" s="33">
        <v>1.9090644524936341E-2</v>
      </c>
      <c r="X243" s="33">
        <v>1.0184568711983137E-2</v>
      </c>
      <c r="Y243" s="33">
        <v>9.2633373684692273E-3</v>
      </c>
      <c r="Z243" s="33">
        <v>1.6458597301759973E-2</v>
      </c>
      <c r="AA243" s="33">
        <v>2.9695193238414349E-2</v>
      </c>
      <c r="AB243" s="33">
        <v>4.491944364595752E-2</v>
      </c>
      <c r="AC243" s="33">
        <v>1.298443659499285</v>
      </c>
      <c r="AD243" s="33">
        <v>5.4742626472292222E-2</v>
      </c>
      <c r="AE243" s="33">
        <v>7.1946263183140235E-2</v>
      </c>
      <c r="AF243" s="33">
        <v>1.2417953049660178E-2</v>
      </c>
      <c r="AG243" s="33">
        <v>7.4682903102836788E-3</v>
      </c>
      <c r="AH243" s="33">
        <v>5.5810497482325763E-2</v>
      </c>
      <c r="AI243" s="33">
        <v>7.6691481179599367E-3</v>
      </c>
      <c r="AJ243" s="33">
        <v>1.9237665804958596E-3</v>
      </c>
      <c r="AK243" s="33">
        <v>6.7989414398927804E-3</v>
      </c>
      <c r="AL243" s="33">
        <v>1.145980434070821E-3</v>
      </c>
      <c r="AM243" s="33">
        <v>2.3700343484031852E-3</v>
      </c>
      <c r="AN243" s="33">
        <v>3.9774566338521755E-3</v>
      </c>
      <c r="AO243" s="33">
        <v>1.3389699701134003E-2</v>
      </c>
      <c r="AP243" s="33">
        <v>9.1658902061632613E-3</v>
      </c>
      <c r="AQ243" s="33">
        <v>1.1445488445478954E-2</v>
      </c>
      <c r="AR243" s="33">
        <v>3.2243395855163698E-2</v>
      </c>
      <c r="AS243" s="33">
        <v>2.9230763466595474E-2</v>
      </c>
      <c r="AT243" s="34">
        <v>0</v>
      </c>
      <c r="AX243" s="39">
        <v>0</v>
      </c>
      <c r="AY243" s="40">
        <v>4.0691363246682363E-2</v>
      </c>
      <c r="BC243" s="41">
        <v>2.1947768183317078</v>
      </c>
      <c r="BD243">
        <f t="shared" si="30"/>
        <v>1.1919557231562756</v>
      </c>
      <c r="BG243" s="41">
        <f t="shared" si="31"/>
        <v>2.3345401216115627</v>
      </c>
      <c r="BH243">
        <f t="shared" si="32"/>
        <v>1.2678594177097287</v>
      </c>
    </row>
    <row r="244" spans="1:60" x14ac:dyDescent="0.25">
      <c r="A244" s="18" t="s">
        <v>74</v>
      </c>
      <c r="B244" s="32">
        <v>3.0237905985092428E-3</v>
      </c>
      <c r="C244" s="33">
        <v>2.7632604896197146E-3</v>
      </c>
      <c r="D244" s="33">
        <v>5.7963957745240215E-4</v>
      </c>
      <c r="E244" s="33">
        <v>7.1866310740588074E-3</v>
      </c>
      <c r="F244" s="33">
        <v>2.4156545740871226E-3</v>
      </c>
      <c r="G244" s="33">
        <v>4.4001632156579493E-3</v>
      </c>
      <c r="H244" s="33">
        <v>5.1654025002139271E-3</v>
      </c>
      <c r="I244" s="33">
        <v>5.4567920833179778E-3</v>
      </c>
      <c r="J244" s="33">
        <v>5.5343125137813061E-3</v>
      </c>
      <c r="K244" s="33">
        <v>8.4310136170795049E-3</v>
      </c>
      <c r="L244" s="33">
        <v>5.726435182877446E-3</v>
      </c>
      <c r="M244" s="33">
        <v>4.7427298809106589E-3</v>
      </c>
      <c r="N244" s="33">
        <v>7.4841162389127159E-3</v>
      </c>
      <c r="O244" s="33">
        <v>5.3969355077362977E-3</v>
      </c>
      <c r="P244" s="33">
        <v>4.3596575877649915E-3</v>
      </c>
      <c r="Q244" s="33">
        <v>5.5366747356020317E-3</v>
      </c>
      <c r="R244" s="33">
        <v>1.2953416351229492E-2</v>
      </c>
      <c r="S244" s="33">
        <v>6.7084236616664151E-3</v>
      </c>
      <c r="T244" s="33">
        <v>6.1988063946088736E-3</v>
      </c>
      <c r="U244" s="33">
        <v>3.9171993930678045E-3</v>
      </c>
      <c r="V244" s="33">
        <v>3.4643654683964055E-3</v>
      </c>
      <c r="W244" s="33">
        <v>5.087298433015682E-3</v>
      </c>
      <c r="X244" s="33">
        <v>2.8106247874357818E-3</v>
      </c>
      <c r="Y244" s="33">
        <v>2.4019190343044969E-3</v>
      </c>
      <c r="Z244" s="33">
        <v>3.9189418810377302E-3</v>
      </c>
      <c r="AA244" s="33">
        <v>4.5682728449680443E-3</v>
      </c>
      <c r="AB244" s="33">
        <v>5.4113647505861593E-3</v>
      </c>
      <c r="AC244" s="33">
        <v>7.5088009778272007E-3</v>
      </c>
      <c r="AD244" s="33">
        <v>1.0364916306629437</v>
      </c>
      <c r="AE244" s="33">
        <v>8.0076183339631013E-3</v>
      </c>
      <c r="AF244" s="33">
        <v>4.418700749767468E-3</v>
      </c>
      <c r="AG244" s="33">
        <v>2.2126129770848649E-3</v>
      </c>
      <c r="AH244" s="33">
        <v>2.261900926248217E-2</v>
      </c>
      <c r="AI244" s="33">
        <v>2.5198400051796659E-3</v>
      </c>
      <c r="AJ244" s="33">
        <v>8.2287790650846038E-4</v>
      </c>
      <c r="AK244" s="33">
        <v>5.0040445254190546E-3</v>
      </c>
      <c r="AL244" s="33">
        <v>6.0856393554428333E-4</v>
      </c>
      <c r="AM244" s="33">
        <v>9.4295229361299724E-4</v>
      </c>
      <c r="AN244" s="33">
        <v>1.5797421499235762E-3</v>
      </c>
      <c r="AO244" s="33">
        <v>6.4823617576291676E-3</v>
      </c>
      <c r="AP244" s="33">
        <v>4.4438261410555463E-3</v>
      </c>
      <c r="AQ244" s="33">
        <v>5.005530311542738E-3</v>
      </c>
      <c r="AR244" s="33">
        <v>1.196099466263003E-2</v>
      </c>
      <c r="AS244" s="33">
        <v>1.2130992426285549E-2</v>
      </c>
      <c r="AT244" s="34">
        <v>0</v>
      </c>
      <c r="AX244" s="39">
        <v>0</v>
      </c>
      <c r="AY244" s="40">
        <v>5.7870510881289569E-3</v>
      </c>
      <c r="BC244" s="41">
        <v>2.5579384041464599</v>
      </c>
      <c r="BD244">
        <f t="shared" si="30"/>
        <v>1.3891842190228565</v>
      </c>
      <c r="BG244" s="41">
        <f t="shared" si="31"/>
        <v>1.2684039414572985</v>
      </c>
      <c r="BH244">
        <f t="shared" si="32"/>
        <v>0.68885424917291349</v>
      </c>
    </row>
    <row r="245" spans="1:60" x14ac:dyDescent="0.25">
      <c r="A245" s="18" t="s">
        <v>75</v>
      </c>
      <c r="B245" s="32">
        <v>9.4397299898406149E-3</v>
      </c>
      <c r="C245" s="33">
        <v>8.8982504583166901E-3</v>
      </c>
      <c r="D245" s="33">
        <v>6.1156235575260034E-3</v>
      </c>
      <c r="E245" s="33">
        <v>1.8783357678473372E-2</v>
      </c>
      <c r="F245" s="33">
        <v>7.910552781186948E-3</v>
      </c>
      <c r="G245" s="33">
        <v>1.3444673831498445E-2</v>
      </c>
      <c r="H245" s="33">
        <v>1.51555266607872E-2</v>
      </c>
      <c r="I245" s="33">
        <v>1.8131300939330516E-2</v>
      </c>
      <c r="J245" s="33">
        <v>1.6396138823302771E-2</v>
      </c>
      <c r="K245" s="33">
        <v>3.0033109906713061E-2</v>
      </c>
      <c r="L245" s="33">
        <v>1.5937358566351409E-2</v>
      </c>
      <c r="M245" s="33">
        <v>1.110020375006897E-2</v>
      </c>
      <c r="N245" s="33">
        <v>2.2046980556109329E-2</v>
      </c>
      <c r="O245" s="33">
        <v>1.7976816803457009E-2</v>
      </c>
      <c r="P245" s="33">
        <v>1.2674434561259265E-2</v>
      </c>
      <c r="Q245" s="33">
        <v>1.5343290525584823E-2</v>
      </c>
      <c r="R245" s="33">
        <v>2.7474398809011962E-2</v>
      </c>
      <c r="S245" s="33">
        <v>1.7896350868516653E-2</v>
      </c>
      <c r="T245" s="33">
        <v>1.7930501492807598E-2</v>
      </c>
      <c r="U245" s="33">
        <v>1.156153919307238E-2</v>
      </c>
      <c r="V245" s="33">
        <v>9.0015150266863023E-3</v>
      </c>
      <c r="W245" s="33">
        <v>1.3071555963893106E-2</v>
      </c>
      <c r="X245" s="33">
        <v>1.1047411970263089E-2</v>
      </c>
      <c r="Y245" s="33">
        <v>9.1414831853142212E-3</v>
      </c>
      <c r="Z245" s="33">
        <v>1.1446448496778505E-2</v>
      </c>
      <c r="AA245" s="33">
        <v>1.6485450151878966E-2</v>
      </c>
      <c r="AB245" s="33">
        <v>2.9763113188664734E-2</v>
      </c>
      <c r="AC245" s="33">
        <v>6.8220730614734409E-2</v>
      </c>
      <c r="AD245" s="33">
        <v>7.6643916188748204E-2</v>
      </c>
      <c r="AE245" s="33">
        <v>1.0475559888771331</v>
      </c>
      <c r="AF245" s="33">
        <v>8.9792029252158106E-3</v>
      </c>
      <c r="AG245" s="33">
        <v>5.5111801774985845E-3</v>
      </c>
      <c r="AH245" s="33">
        <v>3.6310927254172995E-2</v>
      </c>
      <c r="AI245" s="33">
        <v>5.1041094647983828E-3</v>
      </c>
      <c r="AJ245" s="33">
        <v>1.2616536759863007E-3</v>
      </c>
      <c r="AK245" s="33">
        <v>3.7045440077902712E-3</v>
      </c>
      <c r="AL245" s="33">
        <v>7.1489215071687503E-4</v>
      </c>
      <c r="AM245" s="33">
        <v>1.5361807179555622E-3</v>
      </c>
      <c r="AN245" s="33">
        <v>2.482574437811393E-3</v>
      </c>
      <c r="AO245" s="33">
        <v>7.8355211165136683E-3</v>
      </c>
      <c r="AP245" s="33">
        <v>4.4200967830783557E-3</v>
      </c>
      <c r="AQ245" s="33">
        <v>6.2818283603327659E-3</v>
      </c>
      <c r="AR245" s="33">
        <v>1.5284078838316889E-2</v>
      </c>
      <c r="AS245" s="33">
        <v>1.681164151328832E-2</v>
      </c>
      <c r="AT245" s="34">
        <v>0</v>
      </c>
      <c r="AX245" s="39">
        <v>0</v>
      </c>
      <c r="AY245" s="40">
        <v>1.8337980448157307E-2</v>
      </c>
      <c r="BC245" s="41">
        <v>1.6615394895713698</v>
      </c>
      <c r="BD245">
        <f t="shared" si="30"/>
        <v>0.90236122748469405</v>
      </c>
      <c r="BG245" s="41">
        <f t="shared" si="31"/>
        <v>1.722866184840786</v>
      </c>
      <c r="BH245">
        <f t="shared" si="32"/>
        <v>0.93566698540872995</v>
      </c>
    </row>
    <row r="246" spans="1:60" x14ac:dyDescent="0.25">
      <c r="A246" s="18" t="s">
        <v>76</v>
      </c>
      <c r="B246" s="32">
        <v>4.3502693635588528E-4</v>
      </c>
      <c r="C246" s="33">
        <v>6.1926552710442882E-4</v>
      </c>
      <c r="D246" s="33">
        <v>1.630570477265978E-4</v>
      </c>
      <c r="E246" s="33">
        <v>4.6250221846386397E-4</v>
      </c>
      <c r="F246" s="33">
        <v>7.7887720231771507E-4</v>
      </c>
      <c r="G246" s="33">
        <v>7.7523360293646774E-4</v>
      </c>
      <c r="H246" s="33">
        <v>1.1946189869255796E-3</v>
      </c>
      <c r="I246" s="33">
        <v>1.1543596202307244E-3</v>
      </c>
      <c r="J246" s="33">
        <v>1.3699081036495872E-3</v>
      </c>
      <c r="K246" s="33">
        <v>5.3721077898030419E-4</v>
      </c>
      <c r="L246" s="33">
        <v>8.7871133258967977E-4</v>
      </c>
      <c r="M246" s="33">
        <v>1.1688450416316742E-3</v>
      </c>
      <c r="N246" s="33">
        <v>1.4306218328399185E-3</v>
      </c>
      <c r="O246" s="33">
        <v>9.2305738106639537E-4</v>
      </c>
      <c r="P246" s="33">
        <v>7.7667903726471687E-4</v>
      </c>
      <c r="Q246" s="33">
        <v>1.2644380324304666E-3</v>
      </c>
      <c r="R246" s="33">
        <v>1.3754924979746455E-3</v>
      </c>
      <c r="S246" s="33">
        <v>1.1477297480179485E-3</v>
      </c>
      <c r="T246" s="33">
        <v>1.66123516061411E-3</v>
      </c>
      <c r="U246" s="33">
        <v>1.4062205389204449E-3</v>
      </c>
      <c r="V246" s="33">
        <v>1.2939369398827869E-3</v>
      </c>
      <c r="W246" s="33">
        <v>1.2011664368693005E-3</v>
      </c>
      <c r="X246" s="33">
        <v>1.040631143738121E-3</v>
      </c>
      <c r="Y246" s="33">
        <v>9.2489355357431907E-4</v>
      </c>
      <c r="Z246" s="33">
        <v>9.06309144872167E-4</v>
      </c>
      <c r="AA246" s="33">
        <v>2.3237191879803992E-3</v>
      </c>
      <c r="AB246" s="33">
        <v>1.3168459258147615E-3</v>
      </c>
      <c r="AC246" s="33">
        <v>1.4535636648637818E-3</v>
      </c>
      <c r="AD246" s="33">
        <v>1.8813141220457325E-3</v>
      </c>
      <c r="AE246" s="33">
        <v>1.9267806843616545E-3</v>
      </c>
      <c r="AF246" s="33">
        <v>1.0122786538220276</v>
      </c>
      <c r="AG246" s="33">
        <v>7.2332241214933602E-4</v>
      </c>
      <c r="AH246" s="33">
        <v>2.6449847574154901E-3</v>
      </c>
      <c r="AI246" s="33">
        <v>3.2998550659226471E-3</v>
      </c>
      <c r="AJ246" s="33">
        <v>6.5809064056858381E-4</v>
      </c>
      <c r="AK246" s="33">
        <v>2.4213877399766252E-3</v>
      </c>
      <c r="AL246" s="33">
        <v>4.3977295646924257E-4</v>
      </c>
      <c r="AM246" s="33">
        <v>7.330860987504942E-4</v>
      </c>
      <c r="AN246" s="33">
        <v>9.8030622874996343E-4</v>
      </c>
      <c r="AO246" s="33">
        <v>4.1616831280855068E-3</v>
      </c>
      <c r="AP246" s="33">
        <v>1.432771616350168E-3</v>
      </c>
      <c r="AQ246" s="33">
        <v>1.9632490986720152E-3</v>
      </c>
      <c r="AR246" s="33">
        <v>1.2661198768333798E-3</v>
      </c>
      <c r="AS246" s="33">
        <v>1.3634106821089041E-3</v>
      </c>
      <c r="AT246" s="34">
        <v>0</v>
      </c>
      <c r="AX246" s="39">
        <v>0</v>
      </c>
      <c r="AY246" s="40">
        <v>1.054292463460314E-3</v>
      </c>
      <c r="BC246" s="41">
        <v>1.5232822315665657</v>
      </c>
      <c r="BD246">
        <f t="shared" si="30"/>
        <v>0.82727544720386126</v>
      </c>
      <c r="BG246" s="41">
        <f t="shared" si="31"/>
        <v>1.0681589455561242</v>
      </c>
      <c r="BH246">
        <f t="shared" si="32"/>
        <v>0.58010370702018688</v>
      </c>
    </row>
    <row r="247" spans="1:60" x14ac:dyDescent="0.25">
      <c r="A247" s="18" t="s">
        <v>77</v>
      </c>
      <c r="B247" s="32">
        <v>1.088439345035507E-3</v>
      </c>
      <c r="C247" s="33">
        <v>3.9515980152524301E-3</v>
      </c>
      <c r="D247" s="33">
        <v>5.0468521679117382E-4</v>
      </c>
      <c r="E247" s="33">
        <v>1.6311301941723786E-3</v>
      </c>
      <c r="F247" s="33">
        <v>2.7735144063839741E-3</v>
      </c>
      <c r="G247" s="33">
        <v>2.1307422232654809E-3</v>
      </c>
      <c r="H247" s="33">
        <v>3.1961306421776944E-3</v>
      </c>
      <c r="I247" s="33">
        <v>2.4009730407957572E-3</v>
      </c>
      <c r="J247" s="33">
        <v>2.7650744942837413E-3</v>
      </c>
      <c r="K247" s="33">
        <v>1.2378344102933986E-3</v>
      </c>
      <c r="L247" s="33">
        <v>2.7605659797440324E-3</v>
      </c>
      <c r="M247" s="33">
        <v>3.560344496827583E-3</v>
      </c>
      <c r="N247" s="33">
        <v>4.2481078124674493E-3</v>
      </c>
      <c r="O247" s="33">
        <v>3.0367451376300063E-3</v>
      </c>
      <c r="P247" s="33">
        <v>2.4980538553964773E-3</v>
      </c>
      <c r="Q247" s="33">
        <v>4.2710771584568109E-3</v>
      </c>
      <c r="R247" s="33">
        <v>4.0974783694920202E-3</v>
      </c>
      <c r="S247" s="33">
        <v>3.5168163545665283E-3</v>
      </c>
      <c r="T247" s="33">
        <v>4.8618841606159705E-3</v>
      </c>
      <c r="U247" s="33">
        <v>3.9498895592670977E-3</v>
      </c>
      <c r="V247" s="33">
        <v>1.2593349189684003E-2</v>
      </c>
      <c r="W247" s="33">
        <v>2.9560348696540716E-3</v>
      </c>
      <c r="X247" s="33">
        <v>1.9650222885161154E-3</v>
      </c>
      <c r="Y247" s="33">
        <v>1.7569215142738915E-3</v>
      </c>
      <c r="Z247" s="33">
        <v>2.2215924194314914E-3</v>
      </c>
      <c r="AA247" s="33">
        <v>2.2190411164950559E-3</v>
      </c>
      <c r="AB247" s="33">
        <v>2.3302296960366559E-3</v>
      </c>
      <c r="AC247" s="33">
        <v>3.1046003486075282E-3</v>
      </c>
      <c r="AD247" s="33">
        <v>6.7273200326050447E-3</v>
      </c>
      <c r="AE247" s="33">
        <v>2.4814822283351981E-3</v>
      </c>
      <c r="AF247" s="33">
        <v>1.1068712796078092E-2</v>
      </c>
      <c r="AG247" s="33">
        <v>1.0050811532244341</v>
      </c>
      <c r="AH247" s="33">
        <v>2.8673784605797493E-2</v>
      </c>
      <c r="AI247" s="33">
        <v>1.391325905250145E-2</v>
      </c>
      <c r="AJ247" s="33">
        <v>2.9673810247160259E-3</v>
      </c>
      <c r="AK247" s="33">
        <v>9.8361275728053553E-3</v>
      </c>
      <c r="AL247" s="33">
        <v>1.5218443088259885E-3</v>
      </c>
      <c r="AM247" s="33">
        <v>3.1856747953218421E-3</v>
      </c>
      <c r="AN247" s="33">
        <v>4.8844624915916094E-3</v>
      </c>
      <c r="AO247" s="33">
        <v>1.89297608998319E-2</v>
      </c>
      <c r="AP247" s="33">
        <v>5.1816162995939061E-3</v>
      </c>
      <c r="AQ247" s="33">
        <v>5.8327212513050262E-3</v>
      </c>
      <c r="AR247" s="33">
        <v>7.3030873713485619E-3</v>
      </c>
      <c r="AS247" s="33">
        <v>1.0250710135533353E-2</v>
      </c>
      <c r="AT247" s="34">
        <v>0</v>
      </c>
      <c r="AX247" s="39">
        <v>0</v>
      </c>
      <c r="AY247" s="40">
        <v>5.0400373602879373E-3</v>
      </c>
      <c r="BC247" s="41">
        <v>1.6988075743644289</v>
      </c>
      <c r="BD247">
        <f t="shared" si="30"/>
        <v>0.92260105624046074</v>
      </c>
      <c r="BG247" s="41">
        <f t="shared" si="31"/>
        <v>1.2254669744062394</v>
      </c>
      <c r="BH247">
        <f t="shared" si="32"/>
        <v>0.66553572166523534</v>
      </c>
    </row>
    <row r="248" spans="1:60" x14ac:dyDescent="0.25">
      <c r="A248" s="18" t="s">
        <v>78</v>
      </c>
      <c r="B248" s="32">
        <v>8.9965211163549623E-4</v>
      </c>
      <c r="C248" s="33">
        <v>8.4516884369312479E-4</v>
      </c>
      <c r="D248" s="33">
        <v>2.2502021853285103E-4</v>
      </c>
      <c r="E248" s="33">
        <v>2.1860524638968363E-3</v>
      </c>
      <c r="F248" s="33">
        <v>1.0691229129205272E-3</v>
      </c>
      <c r="G248" s="33">
        <v>3.3485468985581818E-3</v>
      </c>
      <c r="H248" s="33">
        <v>6.5945835722322375E-3</v>
      </c>
      <c r="I248" s="33">
        <v>2.5980495275116193E-3</v>
      </c>
      <c r="J248" s="33">
        <v>3.8150034661968346E-3</v>
      </c>
      <c r="K248" s="33">
        <v>8.6610903697523884E-4</v>
      </c>
      <c r="L248" s="33">
        <v>3.3032035661150396E-3</v>
      </c>
      <c r="M248" s="33">
        <v>4.9284080938757618E-3</v>
      </c>
      <c r="N248" s="33">
        <v>9.0650498478754907E-3</v>
      </c>
      <c r="O248" s="33">
        <v>8.8154800910561475E-3</v>
      </c>
      <c r="P248" s="33">
        <v>3.745949516885793E-3</v>
      </c>
      <c r="Q248" s="33">
        <v>3.9875413667976372E-3</v>
      </c>
      <c r="R248" s="33">
        <v>6.0756336627754278E-3</v>
      </c>
      <c r="S248" s="33">
        <v>5.286789219132817E-3</v>
      </c>
      <c r="T248" s="33">
        <v>5.0536093335217438E-3</v>
      </c>
      <c r="U248" s="33">
        <v>3.6252648234494484E-3</v>
      </c>
      <c r="V248" s="33">
        <v>4.2283460547677962E-3</v>
      </c>
      <c r="W248" s="33">
        <v>2.8829169459306395E-3</v>
      </c>
      <c r="X248" s="33">
        <v>5.424494696011372E-3</v>
      </c>
      <c r="Y248" s="33">
        <v>5.2741202733914312E-3</v>
      </c>
      <c r="Z248" s="33">
        <v>3.3121387044642158E-3</v>
      </c>
      <c r="AA248" s="33">
        <v>2.9465265955433526E-3</v>
      </c>
      <c r="AB248" s="33">
        <v>1.5555070756807692E-3</v>
      </c>
      <c r="AC248" s="33">
        <v>1.7263034051376908E-3</v>
      </c>
      <c r="AD248" s="33">
        <v>3.355226594696073E-3</v>
      </c>
      <c r="AE248" s="33">
        <v>1.6775047621129502E-3</v>
      </c>
      <c r="AF248" s="33">
        <v>1.6607157129776963E-3</v>
      </c>
      <c r="AG248" s="33">
        <v>3.358149492448035E-3</v>
      </c>
      <c r="AH248" s="33">
        <v>1.0771021397979115</v>
      </c>
      <c r="AI248" s="33">
        <v>2.7400752591248312E-3</v>
      </c>
      <c r="AJ248" s="33">
        <v>1.7450573210262652E-3</v>
      </c>
      <c r="AK248" s="33">
        <v>1.6696050739214722E-3</v>
      </c>
      <c r="AL248" s="33">
        <v>4.2229981754623617E-4</v>
      </c>
      <c r="AM248" s="33">
        <v>4.285112550708973E-3</v>
      </c>
      <c r="AN248" s="33">
        <v>1.2785883969025674E-3</v>
      </c>
      <c r="AO248" s="33">
        <v>2.5148166972720058E-3</v>
      </c>
      <c r="AP248" s="33">
        <v>3.6718579976356427E-3</v>
      </c>
      <c r="AQ248" s="33">
        <v>2.7290213845227651E-3</v>
      </c>
      <c r="AR248" s="33">
        <v>1.0946645092499379E-2</v>
      </c>
      <c r="AS248" s="33">
        <v>5.2662535420937477E-3</v>
      </c>
      <c r="AT248" s="34">
        <v>0</v>
      </c>
      <c r="AX248" s="39">
        <v>0</v>
      </c>
      <c r="AY248" s="40">
        <v>1.7448209553286211E-3</v>
      </c>
      <c r="BC248" s="41">
        <v>2.3257701083593987</v>
      </c>
      <c r="BD248">
        <f t="shared" si="30"/>
        <v>1.2630965336657742</v>
      </c>
      <c r="BG248" s="41">
        <f t="shared" si="31"/>
        <v>1.2281076618179658</v>
      </c>
      <c r="BH248">
        <f t="shared" si="32"/>
        <v>0.66696984583092911</v>
      </c>
    </row>
    <row r="249" spans="1:60" x14ac:dyDescent="0.25">
      <c r="A249" s="18" t="s">
        <v>79</v>
      </c>
      <c r="B249" s="32">
        <v>1.3811957046642267E-3</v>
      </c>
      <c r="C249" s="33">
        <v>1.7733983521466784E-3</v>
      </c>
      <c r="D249" s="33">
        <v>5.8466825486081246E-4</v>
      </c>
      <c r="E249" s="33">
        <v>1.4944594328407061E-3</v>
      </c>
      <c r="F249" s="33">
        <v>2.9316334438655644E-3</v>
      </c>
      <c r="G249" s="33">
        <v>2.300816278356863E-3</v>
      </c>
      <c r="H249" s="33">
        <v>3.8733996100989089E-3</v>
      </c>
      <c r="I249" s="33">
        <v>3.1684410893531045E-3</v>
      </c>
      <c r="J249" s="33">
        <v>3.4767654317771151E-3</v>
      </c>
      <c r="K249" s="33">
        <v>1.7385179961653002E-3</v>
      </c>
      <c r="L249" s="33">
        <v>2.6021775581749904E-3</v>
      </c>
      <c r="M249" s="33">
        <v>3.1969881052145432E-3</v>
      </c>
      <c r="N249" s="33">
        <v>4.2122054799605523E-3</v>
      </c>
      <c r="O249" s="33">
        <v>2.9985304453196198E-3</v>
      </c>
      <c r="P249" s="33">
        <v>2.235429472583142E-3</v>
      </c>
      <c r="Q249" s="33">
        <v>3.9324386029467072E-3</v>
      </c>
      <c r="R249" s="33">
        <v>5.4329747751879062E-3</v>
      </c>
      <c r="S249" s="33">
        <v>3.6299288664084087E-3</v>
      </c>
      <c r="T249" s="33">
        <v>4.5297576152106035E-3</v>
      </c>
      <c r="U249" s="33">
        <v>4.0848687144461873E-3</v>
      </c>
      <c r="V249" s="33">
        <v>3.8579113739114629E-3</v>
      </c>
      <c r="W249" s="33">
        <v>3.9356499215919835E-3</v>
      </c>
      <c r="X249" s="33">
        <v>3.1350678861917182E-3</v>
      </c>
      <c r="Y249" s="33">
        <v>2.6447647213664123E-3</v>
      </c>
      <c r="Z249" s="33">
        <v>3.0435830773728311E-3</v>
      </c>
      <c r="AA249" s="33">
        <v>6.1156101351238779E-3</v>
      </c>
      <c r="AB249" s="33">
        <v>4.988630988158234E-3</v>
      </c>
      <c r="AC249" s="33">
        <v>5.3016857672637616E-3</v>
      </c>
      <c r="AD249" s="33">
        <v>8.0028202743790203E-3</v>
      </c>
      <c r="AE249" s="33">
        <v>5.903366666617854E-3</v>
      </c>
      <c r="AF249" s="33">
        <v>2.7511992108345722E-3</v>
      </c>
      <c r="AG249" s="33">
        <v>2.8579137001821069E-3</v>
      </c>
      <c r="AH249" s="33">
        <v>1.3390987942172604E-2</v>
      </c>
      <c r="AI249" s="33">
        <v>1.0138481475538512</v>
      </c>
      <c r="AJ249" s="33">
        <v>3.3700846861243316E-3</v>
      </c>
      <c r="AK249" s="33">
        <v>6.9252968057528013E-3</v>
      </c>
      <c r="AL249" s="33">
        <v>1.1682866455669258E-3</v>
      </c>
      <c r="AM249" s="33">
        <v>2.3159073694816045E-3</v>
      </c>
      <c r="AN249" s="33">
        <v>2.5603451651145847E-3</v>
      </c>
      <c r="AO249" s="33">
        <v>1.162915640414169E-2</v>
      </c>
      <c r="AP249" s="33">
        <v>4.9558696092430812E-3</v>
      </c>
      <c r="AQ249" s="33">
        <v>7.5180637345965712E-3</v>
      </c>
      <c r="AR249" s="33">
        <v>4.4513596166641583E-3</v>
      </c>
      <c r="AS249" s="33">
        <v>3.8600743733302168E-3</v>
      </c>
      <c r="AT249" s="34">
        <v>0</v>
      </c>
      <c r="AX249" s="39">
        <v>0</v>
      </c>
      <c r="AY249" s="40">
        <v>3.1545940568109051E-3</v>
      </c>
      <c r="BC249" s="41">
        <v>1.5284136610189625</v>
      </c>
      <c r="BD249">
        <f t="shared" si="30"/>
        <v>0.83006226208757505</v>
      </c>
      <c r="BG249" s="41">
        <f t="shared" si="31"/>
        <v>1.1881103788586156</v>
      </c>
      <c r="BH249">
        <f t="shared" si="32"/>
        <v>0.64524782383037915</v>
      </c>
    </row>
    <row r="250" spans="1:60" x14ac:dyDescent="0.25">
      <c r="A250" s="18" t="s">
        <v>80</v>
      </c>
      <c r="B250" s="32">
        <v>1.4623673953373267E-3</v>
      </c>
      <c r="C250" s="33">
        <v>1.8888335272131719E-3</v>
      </c>
      <c r="D250" s="33">
        <v>9.2581165884301131E-4</v>
      </c>
      <c r="E250" s="33">
        <v>3.1922595756462462E-3</v>
      </c>
      <c r="F250" s="33">
        <v>3.9754357527354341E-3</v>
      </c>
      <c r="G250" s="33">
        <v>3.4010100698044499E-3</v>
      </c>
      <c r="H250" s="33">
        <v>5.4811408370552478E-3</v>
      </c>
      <c r="I250" s="33">
        <v>3.5220445329328387E-3</v>
      </c>
      <c r="J250" s="33">
        <v>7.2533288750026743E-3</v>
      </c>
      <c r="K250" s="33">
        <v>3.1079177831001819E-3</v>
      </c>
      <c r="L250" s="33">
        <v>4.0513772453962486E-3</v>
      </c>
      <c r="M250" s="33">
        <v>4.9380271855951905E-3</v>
      </c>
      <c r="N250" s="33">
        <v>5.6604585838938935E-3</v>
      </c>
      <c r="O250" s="33">
        <v>4.9213489904948301E-3</v>
      </c>
      <c r="P250" s="33">
        <v>4.4335797075051248E-3</v>
      </c>
      <c r="Q250" s="33">
        <v>5.4801571525633155E-3</v>
      </c>
      <c r="R250" s="33">
        <v>1.1954440025385463E-2</v>
      </c>
      <c r="S250" s="33">
        <v>7.4573393005303631E-3</v>
      </c>
      <c r="T250" s="33">
        <v>5.5217689407475916E-3</v>
      </c>
      <c r="U250" s="33">
        <v>8.2190352309029335E-3</v>
      </c>
      <c r="V250" s="33">
        <v>9.0259673247125687E-3</v>
      </c>
      <c r="W250" s="33">
        <v>5.4737848511110521E-3</v>
      </c>
      <c r="X250" s="33">
        <v>5.1966353842005522E-3</v>
      </c>
      <c r="Y250" s="33">
        <v>3.8630382465755556E-3</v>
      </c>
      <c r="Z250" s="33">
        <v>3.9784236687177071E-3</v>
      </c>
      <c r="AA250" s="33">
        <v>5.3513782378402956E-3</v>
      </c>
      <c r="AB250" s="33">
        <v>1.1044859860098207E-2</v>
      </c>
      <c r="AC250" s="33">
        <v>1.3172032179012414E-2</v>
      </c>
      <c r="AD250" s="33">
        <v>3.1658554264241662E-2</v>
      </c>
      <c r="AE250" s="33">
        <v>1.6351811086986627E-2</v>
      </c>
      <c r="AF250" s="33">
        <v>9.7229006617800956E-3</v>
      </c>
      <c r="AG250" s="33">
        <v>3.8425142261042686E-3</v>
      </c>
      <c r="AH250" s="33">
        <v>2.8567328902854822E-2</v>
      </c>
      <c r="AI250" s="33">
        <v>1.9194322162511455E-2</v>
      </c>
      <c r="AJ250" s="33">
        <v>1.017578468967318</v>
      </c>
      <c r="AK250" s="33">
        <v>1.5879595152782922E-2</v>
      </c>
      <c r="AL250" s="33">
        <v>1.9475417850260287E-3</v>
      </c>
      <c r="AM250" s="33">
        <v>4.3142435826834446E-3</v>
      </c>
      <c r="AN250" s="33">
        <v>4.3060724831559226E-3</v>
      </c>
      <c r="AO250" s="33">
        <v>9.4319108837823233E-3</v>
      </c>
      <c r="AP250" s="33">
        <v>5.1616214394298284E-3</v>
      </c>
      <c r="AQ250" s="33">
        <v>7.5015314369030351E-3</v>
      </c>
      <c r="AR250" s="33">
        <v>9.4468913020745761E-3</v>
      </c>
      <c r="AS250" s="33">
        <v>7.1501292445521926E-3</v>
      </c>
      <c r="AT250" s="34">
        <v>0</v>
      </c>
      <c r="AX250" s="39">
        <v>0</v>
      </c>
      <c r="AY250" s="40">
        <v>3.3512009225504986E-3</v>
      </c>
      <c r="BC250" s="41">
        <v>1.1988938892639578</v>
      </c>
      <c r="BD250">
        <f t="shared" si="30"/>
        <v>0.65110421288825748</v>
      </c>
      <c r="BG250" s="41">
        <f t="shared" si="31"/>
        <v>1.3460092397051415</v>
      </c>
      <c r="BH250">
        <f t="shared" si="32"/>
        <v>0.73100071191169846</v>
      </c>
    </row>
    <row r="251" spans="1:60" x14ac:dyDescent="0.25">
      <c r="A251" s="18" t="s">
        <v>81</v>
      </c>
      <c r="B251" s="32">
        <v>2.0341104320692072E-2</v>
      </c>
      <c r="C251" s="33">
        <v>6.8279713436778286E-2</v>
      </c>
      <c r="D251" s="33">
        <v>1.3192525943789536E-2</v>
      </c>
      <c r="E251" s="33">
        <v>2.6392156635551053E-2</v>
      </c>
      <c r="F251" s="33">
        <v>4.5982709460234437E-2</v>
      </c>
      <c r="G251" s="33">
        <v>3.8566466461243093E-2</v>
      </c>
      <c r="H251" s="33">
        <v>6.1253078542959236E-2</v>
      </c>
      <c r="I251" s="33">
        <v>5.0876692473168568E-2</v>
      </c>
      <c r="J251" s="33">
        <v>6.2948484664617665E-2</v>
      </c>
      <c r="K251" s="33">
        <v>4.9173751762748456E-2</v>
      </c>
      <c r="L251" s="33">
        <v>3.5027303772955355E-2</v>
      </c>
      <c r="M251" s="33">
        <v>3.5824533007228487E-2</v>
      </c>
      <c r="N251" s="33">
        <v>8.1639816543951499E-2</v>
      </c>
      <c r="O251" s="33">
        <v>5.1193097417544943E-2</v>
      </c>
      <c r="P251" s="33">
        <v>8.4241615162996608E-2</v>
      </c>
      <c r="Q251" s="33">
        <v>8.3566924403816176E-2</v>
      </c>
      <c r="R251" s="33">
        <v>7.246767561922246E-2</v>
      </c>
      <c r="S251" s="33">
        <v>6.0288123931306836E-2</v>
      </c>
      <c r="T251" s="33">
        <v>6.6769839164383976E-2</v>
      </c>
      <c r="U251" s="33">
        <v>0.10088470682052968</v>
      </c>
      <c r="V251" s="33">
        <v>5.6283392474093245E-2</v>
      </c>
      <c r="W251" s="33">
        <v>6.4251467669797613E-2</v>
      </c>
      <c r="X251" s="33">
        <v>0.10112927520941607</v>
      </c>
      <c r="Y251" s="33">
        <v>7.2248637198661106E-2</v>
      </c>
      <c r="Z251" s="33">
        <v>8.7024584614173492E-2</v>
      </c>
      <c r="AA251" s="33">
        <v>7.6258197100968025E-2</v>
      </c>
      <c r="AB251" s="33">
        <v>5.7475526036850917E-2</v>
      </c>
      <c r="AC251" s="33">
        <v>7.5337344208444221E-2</v>
      </c>
      <c r="AD251" s="33">
        <v>0.10277432298811463</v>
      </c>
      <c r="AE251" s="33">
        <v>5.7523933104232206E-2</v>
      </c>
      <c r="AF251" s="33">
        <v>7.330012573994589E-2</v>
      </c>
      <c r="AG251" s="33">
        <v>6.6289030625706472E-2</v>
      </c>
      <c r="AH251" s="33">
        <v>8.4203633147204887E-2</v>
      </c>
      <c r="AI251" s="33">
        <v>8.9253487126767242E-2</v>
      </c>
      <c r="AJ251" s="33">
        <v>6.5794740032768764E-2</v>
      </c>
      <c r="AK251" s="33">
        <v>1.2178724979906823</v>
      </c>
      <c r="AL251" s="33">
        <v>0.10566400538640926</v>
      </c>
      <c r="AM251" s="33">
        <v>8.2272291428331853E-2</v>
      </c>
      <c r="AN251" s="33">
        <v>0.12493786499142777</v>
      </c>
      <c r="AO251" s="33">
        <v>6.2110120047085285E-2</v>
      </c>
      <c r="AP251" s="33">
        <v>1.5981951383436027E-2</v>
      </c>
      <c r="AQ251" s="33">
        <v>2.4057031212747788E-2</v>
      </c>
      <c r="AR251" s="33">
        <v>3.8406714248308216E-2</v>
      </c>
      <c r="AS251" s="33">
        <v>3.4837296350732183E-2</v>
      </c>
      <c r="AT251" s="34">
        <v>0</v>
      </c>
      <c r="AX251" s="39">
        <v>0</v>
      </c>
      <c r="AY251" s="40">
        <v>8.8620817757470355E-2</v>
      </c>
      <c r="BC251" s="41">
        <v>1.4255629719974232</v>
      </c>
      <c r="BD251">
        <f t="shared" si="30"/>
        <v>0.77420534470725777</v>
      </c>
      <c r="BG251" s="41">
        <f t="shared" si="31"/>
        <v>3.9441977898620237</v>
      </c>
      <c r="BH251">
        <f t="shared" si="32"/>
        <v>2.1420442796821266</v>
      </c>
    </row>
    <row r="252" spans="1:60" x14ac:dyDescent="0.25">
      <c r="A252" s="18" t="s">
        <v>82</v>
      </c>
      <c r="B252" s="32">
        <v>2.3776958977114182E-3</v>
      </c>
      <c r="C252" s="33">
        <v>2.5312929262222028E-3</v>
      </c>
      <c r="D252" s="33">
        <v>9.6081484643158893E-4</v>
      </c>
      <c r="E252" s="33">
        <v>4.5619855705933072E-3</v>
      </c>
      <c r="F252" s="33">
        <v>3.1006211500978877E-3</v>
      </c>
      <c r="G252" s="33">
        <v>5.913052875441558E-3</v>
      </c>
      <c r="H252" s="33">
        <v>9.712186263129358E-3</v>
      </c>
      <c r="I252" s="33">
        <v>6.0205408398731645E-3</v>
      </c>
      <c r="J252" s="33">
        <v>1.0530752877436716E-2</v>
      </c>
      <c r="K252" s="33">
        <v>4.425096325551485E-3</v>
      </c>
      <c r="L252" s="33">
        <v>5.7883096867753486E-3</v>
      </c>
      <c r="M252" s="33">
        <v>6.3953169673381851E-3</v>
      </c>
      <c r="N252" s="33">
        <v>8.9334801453405145E-3</v>
      </c>
      <c r="O252" s="33">
        <v>7.8174606869369223E-3</v>
      </c>
      <c r="P252" s="33">
        <v>5.6319858626448878E-3</v>
      </c>
      <c r="Q252" s="33">
        <v>8.1274396672948394E-3</v>
      </c>
      <c r="R252" s="33">
        <v>1.1561592753295305E-2</v>
      </c>
      <c r="S252" s="33">
        <v>9.1068673268325778E-3</v>
      </c>
      <c r="T252" s="33">
        <v>8.5209383581775922E-3</v>
      </c>
      <c r="U252" s="33">
        <v>1.0050375227604279E-2</v>
      </c>
      <c r="V252" s="33">
        <v>8.4968764541737546E-3</v>
      </c>
      <c r="W252" s="33">
        <v>8.3997856266010175E-3</v>
      </c>
      <c r="X252" s="33">
        <v>5.493640889934542E-3</v>
      </c>
      <c r="Y252" s="33">
        <v>4.63782596681756E-3</v>
      </c>
      <c r="Z252" s="33">
        <v>6.8002561170785345E-3</v>
      </c>
      <c r="AA252" s="33">
        <v>1.3555777010627873E-2</v>
      </c>
      <c r="AB252" s="33">
        <v>1.7886888239867997E-2</v>
      </c>
      <c r="AC252" s="33">
        <v>1.7327341116715151E-2</v>
      </c>
      <c r="AD252" s="33">
        <v>3.4141574755080555E-2</v>
      </c>
      <c r="AE252" s="33">
        <v>3.1701584867309909E-2</v>
      </c>
      <c r="AF252" s="33">
        <v>1.2876924707263003E-2</v>
      </c>
      <c r="AG252" s="33">
        <v>1.4264469932480152E-2</v>
      </c>
      <c r="AH252" s="33">
        <v>3.4264019225547448E-2</v>
      </c>
      <c r="AI252" s="33">
        <v>1.7767564094339123E-2</v>
      </c>
      <c r="AJ252" s="33">
        <v>5.1050715779843671E-3</v>
      </c>
      <c r="AK252" s="33">
        <v>1.38297509058806E-2</v>
      </c>
      <c r="AL252" s="33">
        <v>1.0046368230821876</v>
      </c>
      <c r="AM252" s="33">
        <v>5.4966750718221102E-3</v>
      </c>
      <c r="AN252" s="33">
        <v>6.8304954803858273E-3</v>
      </c>
      <c r="AO252" s="33">
        <v>1.112029592264307E-2</v>
      </c>
      <c r="AP252" s="33">
        <v>9.6764037649532623E-3</v>
      </c>
      <c r="AQ252" s="33">
        <v>1.2830766999159559E-2</v>
      </c>
      <c r="AR252" s="33">
        <v>1.8319830154343179E-2</v>
      </c>
      <c r="AS252" s="33">
        <v>1.6094400946798013E-2</v>
      </c>
      <c r="AT252" s="34">
        <v>0</v>
      </c>
      <c r="AX252" s="39">
        <v>0</v>
      </c>
      <c r="AY252" s="40">
        <v>4.9089888239336205E-3</v>
      </c>
      <c r="BC252" s="41">
        <v>1.1670690783956297</v>
      </c>
      <c r="BD252">
        <f t="shared" si="30"/>
        <v>0.6338205578322943</v>
      </c>
      <c r="BG252" s="41">
        <f t="shared" si="31"/>
        <v>1.4636228491647234</v>
      </c>
      <c r="BH252">
        <f t="shared" si="32"/>
        <v>0.79487518595638829</v>
      </c>
    </row>
    <row r="253" spans="1:60" x14ac:dyDescent="0.25">
      <c r="A253" s="18" t="s">
        <v>83</v>
      </c>
      <c r="B253" s="32">
        <v>7.2189201866375251E-3</v>
      </c>
      <c r="C253" s="33">
        <v>7.9277714714856475E-3</v>
      </c>
      <c r="D253" s="33">
        <v>8.9704396150083396E-3</v>
      </c>
      <c r="E253" s="33">
        <v>1.8933535880694796E-2</v>
      </c>
      <c r="F253" s="33">
        <v>5.2073415460964834E-2</v>
      </c>
      <c r="G253" s="33">
        <v>1.9880018967228661E-2</v>
      </c>
      <c r="H253" s="33">
        <v>2.4326844578370675E-2</v>
      </c>
      <c r="I253" s="33">
        <v>1.6810120216835697E-2</v>
      </c>
      <c r="J253" s="33">
        <v>3.2472763750948541E-2</v>
      </c>
      <c r="K253" s="33">
        <v>2.4095541716522447E-2</v>
      </c>
      <c r="L253" s="33">
        <v>2.3416258700083299E-2</v>
      </c>
      <c r="M253" s="33">
        <v>3.4198766481080674E-2</v>
      </c>
      <c r="N253" s="33">
        <v>2.8923963957936429E-2</v>
      </c>
      <c r="O253" s="33">
        <v>2.606778593040061E-2</v>
      </c>
      <c r="P253" s="33">
        <v>2.006738477680152E-2</v>
      </c>
      <c r="Q253" s="33">
        <v>2.5595427162154294E-2</v>
      </c>
      <c r="R253" s="33">
        <v>4.0787186041300674E-2</v>
      </c>
      <c r="S253" s="33">
        <v>3.5810404538830658E-2</v>
      </c>
      <c r="T253" s="33">
        <v>2.7221509644901373E-2</v>
      </c>
      <c r="U253" s="33">
        <v>4.0296750372503576E-2</v>
      </c>
      <c r="V253" s="33">
        <v>3.6910376846187649E-2</v>
      </c>
      <c r="W253" s="33">
        <v>2.9959568007035607E-2</v>
      </c>
      <c r="X253" s="33">
        <v>2.0505167356747084E-2</v>
      </c>
      <c r="Y253" s="33">
        <v>1.4179973183493391E-2</v>
      </c>
      <c r="Z253" s="33">
        <v>2.4360055335463957E-2</v>
      </c>
      <c r="AA253" s="33">
        <v>2.9182098737378023E-2</v>
      </c>
      <c r="AB253" s="33">
        <v>4.6214342263609112E-2</v>
      </c>
      <c r="AC253" s="33">
        <v>6.3220731981729658E-2</v>
      </c>
      <c r="AD253" s="33">
        <v>7.978876522915232E-2</v>
      </c>
      <c r="AE253" s="33">
        <v>6.3523752616889195E-2</v>
      </c>
      <c r="AF253" s="33">
        <v>2.4353570000227285E-2</v>
      </c>
      <c r="AG253" s="33">
        <v>1.9434310344389166E-2</v>
      </c>
      <c r="AH253" s="33">
        <v>9.9700304657835748E-2</v>
      </c>
      <c r="AI253" s="33">
        <v>4.09287961540898E-2</v>
      </c>
      <c r="AJ253" s="33">
        <v>2.1232113698768346E-2</v>
      </c>
      <c r="AK253" s="33">
        <v>3.8729050796807135E-2</v>
      </c>
      <c r="AL253" s="33">
        <v>8.864140170857706E-3</v>
      </c>
      <c r="AM253" s="33">
        <v>1.0389159841477416</v>
      </c>
      <c r="AN253" s="33">
        <v>2.0878786508481361E-2</v>
      </c>
      <c r="AO253" s="33">
        <v>2.6625652602949051E-2</v>
      </c>
      <c r="AP253" s="33">
        <v>1.7089487811348884E-2</v>
      </c>
      <c r="AQ253" s="33">
        <v>2.5860692723227673E-2</v>
      </c>
      <c r="AR253" s="33">
        <v>4.719720582608701E-2</v>
      </c>
      <c r="AS253" s="33">
        <v>3.6790987640355113E-2</v>
      </c>
      <c r="AT253" s="34">
        <v>0</v>
      </c>
      <c r="AX253" s="39">
        <v>0</v>
      </c>
      <c r="AY253" s="40">
        <v>1.5146691658123173E-2</v>
      </c>
      <c r="BC253" s="41">
        <v>1.2410992758560542</v>
      </c>
      <c r="BD253">
        <f t="shared" si="30"/>
        <v>0.67402542823748457</v>
      </c>
      <c r="BG253" s="41">
        <f t="shared" si="31"/>
        <v>2.3895407240915425</v>
      </c>
      <c r="BH253">
        <f t="shared" si="32"/>
        <v>1.2977295540969389</v>
      </c>
    </row>
    <row r="254" spans="1:60" x14ac:dyDescent="0.25">
      <c r="A254" s="18" t="s">
        <v>84</v>
      </c>
      <c r="B254" s="32">
        <v>4.1953874591395242E-3</v>
      </c>
      <c r="C254" s="33">
        <v>4.5165673597316776E-3</v>
      </c>
      <c r="D254" s="33">
        <v>4.0799399864788468E-3</v>
      </c>
      <c r="E254" s="33">
        <v>1.1757830031564186E-2</v>
      </c>
      <c r="F254" s="33">
        <v>2.0248492964126157E-2</v>
      </c>
      <c r="G254" s="33">
        <v>9.9913113768197014E-3</v>
      </c>
      <c r="H254" s="33">
        <v>1.2878018982846254E-2</v>
      </c>
      <c r="I254" s="33">
        <v>9.9245576592381698E-3</v>
      </c>
      <c r="J254" s="33">
        <v>1.7960196232851919E-2</v>
      </c>
      <c r="K254" s="33">
        <v>1.0589770156139997E-2</v>
      </c>
      <c r="L254" s="33">
        <v>1.2480872481393986E-2</v>
      </c>
      <c r="M254" s="33">
        <v>1.4783303755301815E-2</v>
      </c>
      <c r="N254" s="33">
        <v>1.5766422218717512E-2</v>
      </c>
      <c r="O254" s="33">
        <v>1.5052848535559884E-2</v>
      </c>
      <c r="P254" s="33">
        <v>1.207007381328809E-2</v>
      </c>
      <c r="Q254" s="33">
        <v>1.4770067376676826E-2</v>
      </c>
      <c r="R254" s="33">
        <v>2.3531466887911495E-2</v>
      </c>
      <c r="S254" s="33">
        <v>1.8737711545810505E-2</v>
      </c>
      <c r="T254" s="33">
        <v>1.4917981275961643E-2</v>
      </c>
      <c r="U254" s="33">
        <v>2.0838804702805226E-2</v>
      </c>
      <c r="V254" s="33">
        <v>1.9668652770043406E-2</v>
      </c>
      <c r="W254" s="33">
        <v>1.7058231950225843E-2</v>
      </c>
      <c r="X254" s="33">
        <v>1.0775297082604499E-2</v>
      </c>
      <c r="Y254" s="33">
        <v>9.3442698884489434E-3</v>
      </c>
      <c r="Z254" s="33">
        <v>1.1721704021890293E-2</v>
      </c>
      <c r="AA254" s="33">
        <v>1.381224070696172E-2</v>
      </c>
      <c r="AB254" s="33">
        <v>4.0813533929196684E-2</v>
      </c>
      <c r="AC254" s="33">
        <v>5.9817790033700871E-2</v>
      </c>
      <c r="AD254" s="33">
        <v>0.10404964156973089</v>
      </c>
      <c r="AE254" s="33">
        <v>4.9892267084882772E-2</v>
      </c>
      <c r="AF254" s="33">
        <v>2.2529852985018025E-2</v>
      </c>
      <c r="AG254" s="33">
        <v>1.2326162206821393E-2</v>
      </c>
      <c r="AH254" s="33">
        <v>5.2002392344114898E-2</v>
      </c>
      <c r="AI254" s="33">
        <v>2.5926966086655626E-2</v>
      </c>
      <c r="AJ254" s="33">
        <v>1.0530733122577005E-2</v>
      </c>
      <c r="AK254" s="33">
        <v>1.6366021463734347E-2</v>
      </c>
      <c r="AL254" s="33">
        <v>4.3096011611507322E-3</v>
      </c>
      <c r="AM254" s="33">
        <v>1.0550269810273776E-2</v>
      </c>
      <c r="AN254" s="33">
        <v>1.0192565701088339</v>
      </c>
      <c r="AO254" s="33">
        <v>1.5190172569270702E-2</v>
      </c>
      <c r="AP254" s="33">
        <v>1.1780196605780186E-2</v>
      </c>
      <c r="AQ254" s="33">
        <v>1.9999544354850657E-2</v>
      </c>
      <c r="AR254" s="33">
        <v>2.8184965019679716E-2</v>
      </c>
      <c r="AS254" s="33">
        <v>1.8159047694287805E-2</v>
      </c>
      <c r="AT254" s="34">
        <v>0</v>
      </c>
      <c r="AX254" s="39">
        <v>0</v>
      </c>
      <c r="AY254" s="40">
        <v>8.7119548188712009E-3</v>
      </c>
      <c r="BC254" s="41">
        <v>1.3159549620729207</v>
      </c>
      <c r="BD254">
        <f t="shared" si="30"/>
        <v>0.71467861121797815</v>
      </c>
      <c r="BG254" s="41">
        <f t="shared" si="31"/>
        <v>1.873157749373098</v>
      </c>
      <c r="BH254">
        <f t="shared" si="32"/>
        <v>1.0172884464111149</v>
      </c>
    </row>
    <row r="255" spans="1:60" x14ac:dyDescent="0.25">
      <c r="A255" s="18" t="s">
        <v>85</v>
      </c>
      <c r="B255" s="32">
        <v>1.8176519078965093E-3</v>
      </c>
      <c r="C255" s="33">
        <v>1.2287410412480729E-3</v>
      </c>
      <c r="D255" s="33">
        <v>6.9899917393679786E-4</v>
      </c>
      <c r="E255" s="33">
        <v>2.8283066053220425E-3</v>
      </c>
      <c r="F255" s="33">
        <v>3.8906904094331636E-3</v>
      </c>
      <c r="G255" s="33">
        <v>4.546383663186211E-3</v>
      </c>
      <c r="H255" s="33">
        <v>5.0953576942879822E-3</v>
      </c>
      <c r="I255" s="33">
        <v>4.0718083053509092E-3</v>
      </c>
      <c r="J255" s="33">
        <v>4.5224630232053292E-3</v>
      </c>
      <c r="K255" s="33">
        <v>1.6610154583721112E-3</v>
      </c>
      <c r="L255" s="33">
        <v>3.1286402550491799E-3</v>
      </c>
      <c r="M255" s="33">
        <v>3.8824577551836961E-3</v>
      </c>
      <c r="N255" s="33">
        <v>8.0272371161137657E-3</v>
      </c>
      <c r="O255" s="33">
        <v>7.3469504111138093E-3</v>
      </c>
      <c r="P255" s="33">
        <v>3.7621065435293208E-3</v>
      </c>
      <c r="Q255" s="33">
        <v>4.3532630927940862E-3</v>
      </c>
      <c r="R255" s="33">
        <v>6.3930969789727501E-3</v>
      </c>
      <c r="S255" s="33">
        <v>5.3762321126676017E-3</v>
      </c>
      <c r="T255" s="33">
        <v>4.7904356899809561E-3</v>
      </c>
      <c r="U255" s="33">
        <v>4.3824693105446125E-3</v>
      </c>
      <c r="V255" s="33">
        <v>4.8337588115536165E-3</v>
      </c>
      <c r="W255" s="33">
        <v>4.1694792238429227E-3</v>
      </c>
      <c r="X255" s="33">
        <v>5.5535164685709629E-3</v>
      </c>
      <c r="Y255" s="33">
        <v>5.0375364844701103E-3</v>
      </c>
      <c r="Z255" s="33">
        <v>3.5790180231504167E-3</v>
      </c>
      <c r="AA255" s="33">
        <v>3.6745469414361698E-3</v>
      </c>
      <c r="AB255" s="33">
        <v>3.9651953184729818E-3</v>
      </c>
      <c r="AC255" s="33">
        <v>5.1507451812129422E-3</v>
      </c>
      <c r="AD255" s="33">
        <v>7.620132222435792E-3</v>
      </c>
      <c r="AE255" s="33">
        <v>5.704744961283148E-3</v>
      </c>
      <c r="AF255" s="33">
        <v>2.8547513775353029E-3</v>
      </c>
      <c r="AG255" s="33">
        <v>3.9038933531632975E-3</v>
      </c>
      <c r="AH255" s="33">
        <v>3.2453918457163791E-2</v>
      </c>
      <c r="AI255" s="33">
        <v>4.0641415994212985E-3</v>
      </c>
      <c r="AJ255" s="33">
        <v>2.3569431015671364E-3</v>
      </c>
      <c r="AK255" s="33">
        <v>2.8155767145797185E-3</v>
      </c>
      <c r="AL255" s="33">
        <v>9.3869857499667437E-4</v>
      </c>
      <c r="AM255" s="33">
        <v>3.2478874127861734E-3</v>
      </c>
      <c r="AN255" s="33">
        <v>2.4467999969107336E-3</v>
      </c>
      <c r="AO255" s="33">
        <v>1.0034860276536217</v>
      </c>
      <c r="AP255" s="33">
        <v>3.0575026810743815E-3</v>
      </c>
      <c r="AQ255" s="33">
        <v>4.0646816096498442E-3</v>
      </c>
      <c r="AR255" s="33">
        <v>1.3759710655745352E-2</v>
      </c>
      <c r="AS255" s="33">
        <v>6.8262916589599881E-3</v>
      </c>
      <c r="AT255" s="34">
        <v>0</v>
      </c>
      <c r="AX255" s="39">
        <v>0</v>
      </c>
      <c r="AY255" s="40">
        <v>3.0463929491445821E-3</v>
      </c>
      <c r="BC255" s="41">
        <v>1.5201520411054141</v>
      </c>
      <c r="BD255">
        <f t="shared" si="30"/>
        <v>0.82557548008029058</v>
      </c>
      <c r="BG255" s="41">
        <f t="shared" si="31"/>
        <v>1.2173698050317936</v>
      </c>
      <c r="BH255">
        <f t="shared" si="32"/>
        <v>0.66113825068020249</v>
      </c>
    </row>
    <row r="256" spans="1:60" x14ac:dyDescent="0.25">
      <c r="A256" s="18" t="s">
        <v>86</v>
      </c>
      <c r="B256" s="32">
        <v>3.8993063680631624E-3</v>
      </c>
      <c r="C256" s="33">
        <v>5.933663489885451E-4</v>
      </c>
      <c r="D256" s="33">
        <v>1.737967713729882E-4</v>
      </c>
      <c r="E256" s="33">
        <v>4.3162974335829695E-4</v>
      </c>
      <c r="F256" s="33">
        <v>9.3690753051374237E-4</v>
      </c>
      <c r="G256" s="33">
        <v>2.1259581336538231E-3</v>
      </c>
      <c r="H256" s="33">
        <v>1.0769905363730529E-3</v>
      </c>
      <c r="I256" s="33">
        <v>1.2321602056148933E-3</v>
      </c>
      <c r="J256" s="33">
        <v>1.0971458306278342E-3</v>
      </c>
      <c r="K256" s="33">
        <v>4.1916550558135742E-4</v>
      </c>
      <c r="L256" s="33">
        <v>7.0421077768681103E-4</v>
      </c>
      <c r="M256" s="33">
        <v>8.4082588966337554E-4</v>
      </c>
      <c r="N256" s="33">
        <v>1.4298999108882148E-3</v>
      </c>
      <c r="O256" s="33">
        <v>9.011848026958388E-4</v>
      </c>
      <c r="P256" s="33">
        <v>8.2829278762542083E-4</v>
      </c>
      <c r="Q256" s="33">
        <v>9.8781509170008954E-4</v>
      </c>
      <c r="R256" s="33">
        <v>1.2589950729451579E-3</v>
      </c>
      <c r="S256" s="33">
        <v>8.8895377218467129E-4</v>
      </c>
      <c r="T256" s="33">
        <v>1.096999833730189E-3</v>
      </c>
      <c r="U256" s="33">
        <v>1.1916474219958715E-3</v>
      </c>
      <c r="V256" s="33">
        <v>8.0210696028634352E-4</v>
      </c>
      <c r="W256" s="33">
        <v>1.4658660048901349E-3</v>
      </c>
      <c r="X256" s="33">
        <v>7.5607361601821117E-4</v>
      </c>
      <c r="Y256" s="33">
        <v>6.5522671508303463E-4</v>
      </c>
      <c r="Z256" s="33">
        <v>8.7867581498449535E-4</v>
      </c>
      <c r="AA256" s="33">
        <v>6.9938433053213123E-4</v>
      </c>
      <c r="AB256" s="33">
        <v>7.1947586931321887E-4</v>
      </c>
      <c r="AC256" s="33">
        <v>8.5238111147306627E-4</v>
      </c>
      <c r="AD256" s="33">
        <v>1.2923550432860093E-3</v>
      </c>
      <c r="AE256" s="33">
        <v>6.8558563789944329E-4</v>
      </c>
      <c r="AF256" s="33">
        <v>5.8551199490597503E-4</v>
      </c>
      <c r="AG256" s="33">
        <v>1.0120548538046369E-3</v>
      </c>
      <c r="AH256" s="33">
        <v>1.2541026011546675E-2</v>
      </c>
      <c r="AI256" s="33">
        <v>7.1457236714656761E-4</v>
      </c>
      <c r="AJ256" s="33">
        <v>4.2027624174223926E-4</v>
      </c>
      <c r="AK256" s="33">
        <v>4.9987246381908721E-3</v>
      </c>
      <c r="AL256" s="33">
        <v>4.7340592085564265E-4</v>
      </c>
      <c r="AM256" s="33">
        <v>5.3805235529124187E-4</v>
      </c>
      <c r="AN256" s="33">
        <v>7.0036252422404324E-4</v>
      </c>
      <c r="AO256" s="33">
        <v>1.0602861590830823E-2</v>
      </c>
      <c r="AP256" s="33">
        <v>1.0168282929709427</v>
      </c>
      <c r="AQ256" s="33">
        <v>7.5212315342334636E-3</v>
      </c>
      <c r="AR256" s="33">
        <v>8.0170921176415631E-3</v>
      </c>
      <c r="AS256" s="33">
        <v>9.4644580821697018E-3</v>
      </c>
      <c r="AT256" s="34">
        <v>0</v>
      </c>
      <c r="AX256" s="39">
        <v>0</v>
      </c>
      <c r="AY256" s="40">
        <v>4.4926727170517076E-3</v>
      </c>
      <c r="BC256" s="41">
        <v>1.2664958134655504</v>
      </c>
      <c r="BD256">
        <f t="shared" si="30"/>
        <v>0.68781796882710244</v>
      </c>
      <c r="BG256" s="41">
        <f t="shared" si="31"/>
        <v>1.1053403066425553</v>
      </c>
      <c r="BH256">
        <f t="shared" si="32"/>
        <v>0.60029643722015269</v>
      </c>
    </row>
    <row r="257" spans="1:60" x14ac:dyDescent="0.25">
      <c r="A257" s="18" t="s">
        <v>87</v>
      </c>
      <c r="B257" s="32">
        <v>2.3697724969467854E-3</v>
      </c>
      <c r="C257" s="33">
        <v>4.0227498315751898E-4</v>
      </c>
      <c r="D257" s="33">
        <v>1.1444588483146304E-4</v>
      </c>
      <c r="E257" s="33">
        <v>3.1807444546167786E-4</v>
      </c>
      <c r="F257" s="33">
        <v>6.3222879588443733E-4</v>
      </c>
      <c r="G257" s="33">
        <v>1.4683172171976882E-3</v>
      </c>
      <c r="H257" s="33">
        <v>1.2611177121700594E-3</v>
      </c>
      <c r="I257" s="33">
        <v>1.1247971673482597E-3</v>
      </c>
      <c r="J257" s="33">
        <v>8.0102358882871722E-4</v>
      </c>
      <c r="K257" s="33">
        <v>2.7014620192277963E-4</v>
      </c>
      <c r="L257" s="33">
        <v>5.6469415570399985E-4</v>
      </c>
      <c r="M257" s="33">
        <v>6.8096444271353331E-4</v>
      </c>
      <c r="N257" s="33">
        <v>1.1776624711173187E-3</v>
      </c>
      <c r="O257" s="33">
        <v>6.6121098278506337E-4</v>
      </c>
      <c r="P257" s="33">
        <v>5.5517886704357087E-4</v>
      </c>
      <c r="Q257" s="33">
        <v>7.1380797457892874E-4</v>
      </c>
      <c r="R257" s="33">
        <v>1.7156274874257395E-3</v>
      </c>
      <c r="S257" s="33">
        <v>9.7609826656697022E-4</v>
      </c>
      <c r="T257" s="33">
        <v>8.6365602129336516E-4</v>
      </c>
      <c r="U257" s="33">
        <v>8.659114508879276E-4</v>
      </c>
      <c r="V257" s="33">
        <v>5.879310693633538E-4</v>
      </c>
      <c r="W257" s="33">
        <v>9.4708163011904874E-4</v>
      </c>
      <c r="X257" s="33">
        <v>4.3402521716370259E-4</v>
      </c>
      <c r="Y257" s="33">
        <v>3.8501710412176934E-4</v>
      </c>
      <c r="Z257" s="33">
        <v>6.7211391352965384E-4</v>
      </c>
      <c r="AA257" s="33">
        <v>4.6113207405213015E-4</v>
      </c>
      <c r="AB257" s="33">
        <v>5.9111518566094823E-4</v>
      </c>
      <c r="AC257" s="33">
        <v>7.7350001250657411E-4</v>
      </c>
      <c r="AD257" s="33">
        <v>1.1769367924874059E-3</v>
      </c>
      <c r="AE257" s="33">
        <v>4.9860292931607397E-4</v>
      </c>
      <c r="AF257" s="33">
        <v>3.7372645211090628E-4</v>
      </c>
      <c r="AG257" s="33">
        <v>6.8354612403171084E-4</v>
      </c>
      <c r="AH257" s="33">
        <v>3.4912032683059751E-3</v>
      </c>
      <c r="AI257" s="33">
        <v>4.9842784574364587E-4</v>
      </c>
      <c r="AJ257" s="33">
        <v>2.2547429537819345E-4</v>
      </c>
      <c r="AK257" s="33">
        <v>1.9700274416011585E-3</v>
      </c>
      <c r="AL257" s="33">
        <v>2.0239833644225238E-4</v>
      </c>
      <c r="AM257" s="33">
        <v>2.7339120748696934E-4</v>
      </c>
      <c r="AN257" s="33">
        <v>3.5762372447993134E-4</v>
      </c>
      <c r="AO257" s="33">
        <v>4.6609169338996358E-3</v>
      </c>
      <c r="AP257" s="33">
        <v>1.4405933548412091E-3</v>
      </c>
      <c r="AQ257" s="33">
        <v>1.012563185439862</v>
      </c>
      <c r="AR257" s="33">
        <v>4.4938081364987274E-3</v>
      </c>
      <c r="AS257" s="33">
        <v>4.2002649684326696E-3</v>
      </c>
      <c r="AT257" s="34">
        <v>0</v>
      </c>
      <c r="AX257" s="39">
        <v>0</v>
      </c>
      <c r="AY257" s="40">
        <v>2.7720474801043045E-3</v>
      </c>
      <c r="BC257" s="41">
        <v>1.3869016714659923</v>
      </c>
      <c r="BD257">
        <f t="shared" si="30"/>
        <v>0.75320887798307745</v>
      </c>
      <c r="BG257" s="41">
        <f t="shared" si="31"/>
        <v>1.0594990540713014</v>
      </c>
      <c r="BH257">
        <f t="shared" si="32"/>
        <v>0.57540062872492181</v>
      </c>
    </row>
    <row r="258" spans="1:60" x14ac:dyDescent="0.25">
      <c r="A258" s="18" t="s">
        <v>88</v>
      </c>
      <c r="B258" s="32">
        <v>2.2042142638668493E-4</v>
      </c>
      <c r="C258" s="33">
        <v>2.518249585815614E-4</v>
      </c>
      <c r="D258" s="33">
        <v>6.6091760766116663E-5</v>
      </c>
      <c r="E258" s="33">
        <v>7.0696209569889575E-4</v>
      </c>
      <c r="F258" s="33">
        <v>3.2950216827548054E-4</v>
      </c>
      <c r="G258" s="33">
        <v>6.1376987544489053E-4</v>
      </c>
      <c r="H258" s="33">
        <v>1.7014641086596264E-3</v>
      </c>
      <c r="I258" s="33">
        <v>8.3751536689509573E-4</v>
      </c>
      <c r="J258" s="33">
        <v>1.0661323123724164E-3</v>
      </c>
      <c r="K258" s="33">
        <v>2.2650600442819269E-4</v>
      </c>
      <c r="L258" s="33">
        <v>6.980318440866517E-4</v>
      </c>
      <c r="M258" s="33">
        <v>8.4838434982345817E-4</v>
      </c>
      <c r="N258" s="33">
        <v>2.7000563524805492E-3</v>
      </c>
      <c r="O258" s="33">
        <v>1.998897375795331E-3</v>
      </c>
      <c r="P258" s="33">
        <v>9.4947884121355012E-4</v>
      </c>
      <c r="Q258" s="33">
        <v>1.0875278086459798E-3</v>
      </c>
      <c r="R258" s="33">
        <v>2.0512829533543978E-3</v>
      </c>
      <c r="S258" s="33">
        <v>1.4600244347230435E-3</v>
      </c>
      <c r="T258" s="33">
        <v>1.0775616930797302E-3</v>
      </c>
      <c r="U258" s="33">
        <v>9.9046929911663067E-4</v>
      </c>
      <c r="V258" s="33">
        <v>1.349757245433086E-3</v>
      </c>
      <c r="W258" s="33">
        <v>7.3832462012541733E-4</v>
      </c>
      <c r="X258" s="33">
        <v>1.3548197343954812E-3</v>
      </c>
      <c r="Y258" s="33">
        <v>1.0280299104026788E-3</v>
      </c>
      <c r="Z258" s="33">
        <v>8.457733893713099E-4</v>
      </c>
      <c r="AA258" s="33">
        <v>6.3808097056769779E-4</v>
      </c>
      <c r="AB258" s="33">
        <v>4.6259329439895814E-4</v>
      </c>
      <c r="AC258" s="33">
        <v>5.9086702602078602E-4</v>
      </c>
      <c r="AD258" s="33">
        <v>9.5872745614750913E-4</v>
      </c>
      <c r="AE258" s="33">
        <v>4.4696157690959156E-4</v>
      </c>
      <c r="AF258" s="33">
        <v>3.3406470677379381E-4</v>
      </c>
      <c r="AG258" s="33">
        <v>8.3797639976474251E-4</v>
      </c>
      <c r="AH258" s="33">
        <v>8.8078545285021348E-3</v>
      </c>
      <c r="AI258" s="33">
        <v>4.7245926528564582E-4</v>
      </c>
      <c r="AJ258" s="33">
        <v>3.7737727479193121E-4</v>
      </c>
      <c r="AK258" s="33">
        <v>1.9658098474786834E-4</v>
      </c>
      <c r="AL258" s="33">
        <v>1.2305461355223917E-4</v>
      </c>
      <c r="AM258" s="33">
        <v>7.6959016438217899E-4</v>
      </c>
      <c r="AN258" s="33">
        <v>8.1937116388862462E-4</v>
      </c>
      <c r="AO258" s="33">
        <v>6.4410303824417587E-4</v>
      </c>
      <c r="AP258" s="33">
        <v>9.9206178658127085E-4</v>
      </c>
      <c r="AQ258" s="33">
        <v>8.2346284624278663E-4</v>
      </c>
      <c r="AR258" s="33">
        <v>1.0152591068242056</v>
      </c>
      <c r="AS258" s="33">
        <v>1.8925186322813637E-3</v>
      </c>
      <c r="AT258" s="34">
        <v>0</v>
      </c>
      <c r="AX258" s="39">
        <v>0</v>
      </c>
      <c r="AY258" s="40">
        <v>4.7224638496824636E-4</v>
      </c>
      <c r="BC258" s="41">
        <v>1.607536377848664</v>
      </c>
      <c r="BD258">
        <f t="shared" si="30"/>
        <v>0.87303281579905612</v>
      </c>
      <c r="BG258" s="41">
        <f t="shared" si="31"/>
        <v>1.0606454224828452</v>
      </c>
      <c r="BH258">
        <f t="shared" si="32"/>
        <v>0.57602320701059184</v>
      </c>
    </row>
    <row r="259" spans="1:60" x14ac:dyDescent="0.25">
      <c r="A259" s="18" t="s">
        <v>89</v>
      </c>
      <c r="B259" s="32">
        <v>3.5762725453273198E-4</v>
      </c>
      <c r="C259" s="33">
        <v>7.304380676726428E-4</v>
      </c>
      <c r="D259" s="33">
        <v>1.7649676669318333E-4</v>
      </c>
      <c r="E259" s="33">
        <v>1.2477936615074685E-3</v>
      </c>
      <c r="F259" s="33">
        <v>1.0374804874184462E-3</v>
      </c>
      <c r="G259" s="33">
        <v>1.0681427359588668E-3</v>
      </c>
      <c r="H259" s="33">
        <v>2.5695475703556019E-3</v>
      </c>
      <c r="I259" s="33">
        <v>1.5599491710491019E-3</v>
      </c>
      <c r="J259" s="33">
        <v>1.6244753909539411E-3</v>
      </c>
      <c r="K259" s="33">
        <v>4.243508612118413E-4</v>
      </c>
      <c r="L259" s="33">
        <v>1.221117381468499E-3</v>
      </c>
      <c r="M259" s="33">
        <v>1.3811223994127347E-3</v>
      </c>
      <c r="N259" s="33">
        <v>4.694496908619423E-3</v>
      </c>
      <c r="O259" s="33">
        <v>4.8644191873681523E-3</v>
      </c>
      <c r="P259" s="33">
        <v>1.7302638556055822E-3</v>
      </c>
      <c r="Q259" s="33">
        <v>2.0422240467542633E-3</v>
      </c>
      <c r="R259" s="33">
        <v>2.7007166815746432E-3</v>
      </c>
      <c r="S259" s="33">
        <v>2.5458205718865653E-3</v>
      </c>
      <c r="T259" s="33">
        <v>2.3228353229407272E-3</v>
      </c>
      <c r="U259" s="33">
        <v>1.6092916992087899E-3</v>
      </c>
      <c r="V259" s="33">
        <v>2.05679042641272E-3</v>
      </c>
      <c r="W259" s="33">
        <v>1.2563008738422942E-3</v>
      </c>
      <c r="X259" s="33">
        <v>3.2841385335645517E-3</v>
      </c>
      <c r="Y259" s="33">
        <v>3.6525833678822117E-3</v>
      </c>
      <c r="Z259" s="33">
        <v>1.680788012280352E-3</v>
      </c>
      <c r="AA259" s="33">
        <v>1.0155989231538829E-3</v>
      </c>
      <c r="AB259" s="33">
        <v>5.4258117173517132E-4</v>
      </c>
      <c r="AC259" s="33">
        <v>5.5080549006857862E-4</v>
      </c>
      <c r="AD259" s="33">
        <v>9.3869989222467303E-4</v>
      </c>
      <c r="AE259" s="33">
        <v>5.0505814168436255E-4</v>
      </c>
      <c r="AF259" s="33">
        <v>5.9080006626138846E-4</v>
      </c>
      <c r="AG259" s="33">
        <v>1.0982708642917488E-3</v>
      </c>
      <c r="AH259" s="33">
        <v>6.1366469690525864E-3</v>
      </c>
      <c r="AI259" s="33">
        <v>6.5867935892461042E-4</v>
      </c>
      <c r="AJ259" s="33">
        <v>8.4593445157923951E-4</v>
      </c>
      <c r="AK259" s="33">
        <v>2.2637686853862758E-4</v>
      </c>
      <c r="AL259" s="33">
        <v>2.5487183422002064E-4</v>
      </c>
      <c r="AM259" s="33">
        <v>9.1878681953111386E-4</v>
      </c>
      <c r="AN259" s="33">
        <v>9.5105937736265065E-4</v>
      </c>
      <c r="AO259" s="33">
        <v>8.3422776716861259E-4</v>
      </c>
      <c r="AP259" s="33">
        <v>8.2145783473677497E-4</v>
      </c>
      <c r="AQ259" s="33">
        <v>1.5901216741593151E-3</v>
      </c>
      <c r="AR259" s="33">
        <v>3.8081128306349439E-3</v>
      </c>
      <c r="AS259" s="33">
        <v>1.0054844061166626</v>
      </c>
      <c r="AT259" s="34">
        <v>0</v>
      </c>
      <c r="AX259" s="39">
        <v>0</v>
      </c>
      <c r="AY259" s="40">
        <v>1.0880653222053748E-3</v>
      </c>
      <c r="BC259" s="41">
        <v>1.5546938249849216</v>
      </c>
      <c r="BD259">
        <f t="shared" si="30"/>
        <v>0.84433468905284659</v>
      </c>
      <c r="BG259" s="41">
        <f t="shared" si="31"/>
        <v>1.0756117076881662</v>
      </c>
      <c r="BH259">
        <f t="shared" si="32"/>
        <v>0.58415120852576696</v>
      </c>
    </row>
    <row r="260" spans="1:60" ht="13" thickBot="1" x14ac:dyDescent="0.3">
      <c r="A260" s="18" t="s">
        <v>90</v>
      </c>
      <c r="B260" s="35">
        <v>0</v>
      </c>
      <c r="C260" s="36">
        <v>0</v>
      </c>
      <c r="D260" s="36">
        <v>0</v>
      </c>
      <c r="E260" s="36">
        <v>0</v>
      </c>
      <c r="F260" s="36">
        <v>0</v>
      </c>
      <c r="G260" s="36">
        <v>0</v>
      </c>
      <c r="H260" s="36">
        <v>0</v>
      </c>
      <c r="I260" s="36">
        <v>0</v>
      </c>
      <c r="J260" s="36">
        <v>0</v>
      </c>
      <c r="K260" s="36">
        <v>0</v>
      </c>
      <c r="L260" s="36">
        <v>0</v>
      </c>
      <c r="M260" s="36">
        <v>0</v>
      </c>
      <c r="N260" s="36">
        <v>0</v>
      </c>
      <c r="O260" s="36">
        <v>0</v>
      </c>
      <c r="P260" s="36">
        <v>0</v>
      </c>
      <c r="Q260" s="36">
        <v>0</v>
      </c>
      <c r="R260" s="36">
        <v>0</v>
      </c>
      <c r="S260" s="36">
        <v>0</v>
      </c>
      <c r="T260" s="36">
        <v>0</v>
      </c>
      <c r="U260" s="36">
        <v>0</v>
      </c>
      <c r="V260" s="36">
        <v>0</v>
      </c>
      <c r="W260" s="36">
        <v>0</v>
      </c>
      <c r="X260" s="36">
        <v>0</v>
      </c>
      <c r="Y260" s="36">
        <v>0</v>
      </c>
      <c r="Z260" s="36">
        <v>0</v>
      </c>
      <c r="AA260" s="36">
        <v>0</v>
      </c>
      <c r="AB260" s="36">
        <v>0</v>
      </c>
      <c r="AC260" s="36">
        <v>0</v>
      </c>
      <c r="AD260" s="36">
        <v>0</v>
      </c>
      <c r="AE260" s="36">
        <v>0</v>
      </c>
      <c r="AF260" s="36">
        <v>0</v>
      </c>
      <c r="AG260" s="36">
        <v>0</v>
      </c>
      <c r="AH260" s="36">
        <v>0</v>
      </c>
      <c r="AI260" s="36">
        <v>0</v>
      </c>
      <c r="AJ260" s="36">
        <v>0</v>
      </c>
      <c r="AK260" s="36">
        <v>0</v>
      </c>
      <c r="AL260" s="36">
        <v>0</v>
      </c>
      <c r="AM260" s="36">
        <v>0</v>
      </c>
      <c r="AN260" s="36">
        <v>0</v>
      </c>
      <c r="AO260" s="36">
        <v>0</v>
      </c>
      <c r="AP260" s="36">
        <v>0</v>
      </c>
      <c r="AQ260" s="36">
        <v>0</v>
      </c>
      <c r="AR260" s="36">
        <v>0</v>
      </c>
      <c r="AS260" s="36">
        <v>0</v>
      </c>
      <c r="AT260" s="37">
        <v>1</v>
      </c>
      <c r="AX260" s="39">
        <v>0</v>
      </c>
      <c r="AY260" s="40">
        <v>0</v>
      </c>
      <c r="BC260" s="41">
        <v>1</v>
      </c>
      <c r="BD260">
        <f t="shared" si="30"/>
        <v>0.54308743978000651</v>
      </c>
      <c r="BG260" s="41">
        <f t="shared" si="31"/>
        <v>1</v>
      </c>
      <c r="BH260">
        <f t="shared" si="32"/>
        <v>0.54308743978000651</v>
      </c>
    </row>
    <row r="261" spans="1:60" x14ac:dyDescent="0.25">
      <c r="AY261">
        <f>SUM(AY216:AY260)</f>
        <v>3.1478959979490586</v>
      </c>
    </row>
    <row r="265" spans="1:60" x14ac:dyDescent="0.25">
      <c r="B265" s="41">
        <f>SUM(B216:B260)</f>
        <v>1.6369260028344397</v>
      </c>
      <c r="C265" s="41">
        <f t="shared" ref="C265:AT265" si="33">SUM(C216:C260)</f>
        <v>1.5109699951146192</v>
      </c>
      <c r="D265" s="41">
        <f t="shared" si="33"/>
        <v>1.3071510090680445</v>
      </c>
      <c r="E265" s="41">
        <f t="shared" si="33"/>
        <v>1.5497895946974591</v>
      </c>
      <c r="F265" s="41">
        <f t="shared" si="33"/>
        <v>1.6368879339406139</v>
      </c>
      <c r="G265" s="41">
        <f t="shared" si="33"/>
        <v>2.1715806367370099</v>
      </c>
      <c r="H265" s="41">
        <f t="shared" si="33"/>
        <v>2.2846590052112923</v>
      </c>
      <c r="I265" s="41">
        <f t="shared" si="33"/>
        <v>2.1725967646230839</v>
      </c>
      <c r="J265" s="41">
        <f t="shared" si="33"/>
        <v>2.1180223651938799</v>
      </c>
      <c r="K265" s="41">
        <f t="shared" si="33"/>
        <v>2.4629516359497963</v>
      </c>
      <c r="L265" s="41">
        <f t="shared" si="33"/>
        <v>2.0202872925916449</v>
      </c>
      <c r="M265" s="41">
        <f t="shared" si="33"/>
        <v>1.8567659872666811</v>
      </c>
      <c r="N265" s="41">
        <f t="shared" si="33"/>
        <v>2.7037433806792412</v>
      </c>
      <c r="O265" s="41">
        <f t="shared" si="33"/>
        <v>2.0854494410388282</v>
      </c>
      <c r="P265" s="41">
        <f t="shared" si="33"/>
        <v>2.3099538034179452</v>
      </c>
      <c r="Q265" s="41">
        <f t="shared" si="33"/>
        <v>2.3840593541652289</v>
      </c>
      <c r="R265" s="41">
        <f t="shared" si="33"/>
        <v>2.68720672632401</v>
      </c>
      <c r="S265" s="41">
        <f t="shared" si="33"/>
        <v>2.2459206076260569</v>
      </c>
      <c r="T265" s="41">
        <f t="shared" si="33"/>
        <v>2.4572607011174292</v>
      </c>
      <c r="U265" s="41">
        <f t="shared" si="33"/>
        <v>2.6142837856544938</v>
      </c>
      <c r="V265" s="41">
        <f t="shared" si="33"/>
        <v>1.918701357494812</v>
      </c>
      <c r="W265" s="41">
        <f t="shared" si="33"/>
        <v>1.9369715699535874</v>
      </c>
      <c r="X265" s="41">
        <f t="shared" si="33"/>
        <v>1.6250229025591019</v>
      </c>
      <c r="Y265" s="41">
        <f t="shared" si="33"/>
        <v>1.510757251787235</v>
      </c>
      <c r="Z265" s="41">
        <f t="shared" si="33"/>
        <v>2.0712389451464803</v>
      </c>
      <c r="AA265" s="41">
        <f t="shared" si="33"/>
        <v>1.5767787025250233</v>
      </c>
      <c r="AB265" s="41">
        <f t="shared" si="33"/>
        <v>1.8287602764806794</v>
      </c>
      <c r="AC265" s="41">
        <f t="shared" si="33"/>
        <v>2.1947768183317078</v>
      </c>
      <c r="AD265" s="41">
        <f t="shared" si="33"/>
        <v>2.5579384041464599</v>
      </c>
      <c r="AE265" s="41">
        <f t="shared" si="33"/>
        <v>1.6615394895713698</v>
      </c>
      <c r="AF265" s="41">
        <f t="shared" si="33"/>
        <v>1.5232822315665657</v>
      </c>
      <c r="AG265" s="41">
        <f t="shared" si="33"/>
        <v>1.6988075743644289</v>
      </c>
      <c r="AH265" s="41">
        <f t="shared" si="33"/>
        <v>2.3257701083593987</v>
      </c>
      <c r="AI265" s="41">
        <f t="shared" si="33"/>
        <v>1.5284136610189625</v>
      </c>
      <c r="AJ265" s="41">
        <f t="shared" si="33"/>
        <v>1.1988938892639578</v>
      </c>
      <c r="AK265" s="41">
        <f t="shared" si="33"/>
        <v>1.4255629719974232</v>
      </c>
      <c r="AL265" s="41">
        <f t="shared" si="33"/>
        <v>1.1670690783956297</v>
      </c>
      <c r="AM265" s="41">
        <f t="shared" si="33"/>
        <v>1.2410992758560542</v>
      </c>
      <c r="AN265" s="41">
        <f t="shared" si="33"/>
        <v>1.3159549620729207</v>
      </c>
      <c r="AO265" s="41">
        <f t="shared" si="33"/>
        <v>1.5201520411054141</v>
      </c>
      <c r="AP265" s="41">
        <f t="shared" si="33"/>
        <v>1.2664958134655504</v>
      </c>
      <c r="AQ265" s="41">
        <f t="shared" si="33"/>
        <v>1.3869016714659923</v>
      </c>
      <c r="AR265" s="41">
        <f t="shared" si="33"/>
        <v>1.607536377848664</v>
      </c>
      <c r="AS265" s="41">
        <f t="shared" si="33"/>
        <v>1.5546938249849216</v>
      </c>
      <c r="AT265" s="41">
        <f t="shared" si="33"/>
        <v>1</v>
      </c>
    </row>
  </sheetData>
  <conditionalFormatting sqref="B216:AT260">
    <cfRule type="cellIs" dxfId="2" priority="2" operator="lessThan">
      <formula>0</formula>
    </cfRule>
  </conditionalFormatting>
  <conditionalFormatting sqref="BD216:BD260">
    <cfRule type="cellIs" dxfId="0" priority="1" operator="greaterThan">
      <formula>1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E0F93-1A13-4538-BD57-54ED29024B63}">
  <dimension ref="A1"/>
  <sheetViews>
    <sheetView zoomScaleNormal="100" workbookViewId="0">
      <selection activeCell="A2" sqref="A2"/>
    </sheetView>
  </sheetViews>
  <sheetFormatPr baseColWidth="10" defaultRowHeight="12.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leontief TT maroc 2018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jonathan.nene80@gmail.com</cp:lastModifiedBy>
  <dcterms:created xsi:type="dcterms:W3CDTF">2023-12-14T18:14:45Z</dcterms:created>
  <dcterms:modified xsi:type="dcterms:W3CDTF">2023-12-15T18:46:41Z</dcterms:modified>
</cp:coreProperties>
</file>